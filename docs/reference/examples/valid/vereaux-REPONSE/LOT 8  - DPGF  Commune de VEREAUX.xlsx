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erti\Documents\AO\EN COURS\Commune de Véreaux\Dossier de rep - Véreaux\offre\"/>
    </mc:Choice>
  </mc:AlternateContent>
  <xr:revisionPtr revIDLastSave="0" documentId="13_ncr:1_{86008AAC-AA9E-40DC-86A2-7E0965C6CE8F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LOT 8 - INSTALLATION GENERALE" sheetId="1" r:id="rId1"/>
    <sheet name="LOT 8 - RESTAURANT" sheetId="2" r:id="rId2"/>
    <sheet name="LOT 8 - LOGEMENT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23" i="1" s="1"/>
  <c r="B53" i="1"/>
  <c r="B49" i="1"/>
  <c r="B43" i="1"/>
  <c r="B40" i="1"/>
  <c r="B33" i="1"/>
  <c r="F45" i="1" l="1"/>
  <c r="F46" i="1"/>
  <c r="F47" i="1"/>
  <c r="F35" i="1"/>
  <c r="F36" i="1"/>
  <c r="F37" i="1"/>
  <c r="F38" i="1"/>
  <c r="F34" i="1"/>
  <c r="F25" i="1"/>
  <c r="F26" i="1"/>
  <c r="F27" i="1"/>
  <c r="F28" i="1"/>
  <c r="F29" i="1"/>
  <c r="F30" i="1"/>
  <c r="F31" i="1"/>
  <c r="F17" i="1"/>
  <c r="F18" i="1"/>
  <c r="F19" i="1"/>
  <c r="F20" i="1"/>
  <c r="F21" i="1"/>
  <c r="F22" i="1"/>
  <c r="F11" i="1"/>
  <c r="F12" i="1"/>
  <c r="F13" i="1"/>
  <c r="F10" i="1"/>
  <c r="F7" i="3"/>
  <c r="F8" i="3"/>
  <c r="F9" i="3"/>
  <c r="F7" i="2"/>
  <c r="F8" i="2"/>
  <c r="F9" i="2"/>
  <c r="F10" i="2"/>
  <c r="F11" i="2"/>
  <c r="F12" i="2"/>
  <c r="F14" i="1" l="1"/>
  <c r="F39" i="1"/>
  <c r="F32" i="1"/>
  <c r="F58" i="1" l="1"/>
  <c r="F57" i="1"/>
  <c r="F56" i="1"/>
  <c r="B13" i="2" l="1"/>
  <c r="B59" i="1"/>
  <c r="F55" i="1"/>
  <c r="F54" i="1"/>
  <c r="F59" i="1" s="1"/>
  <c r="B52" i="1"/>
  <c r="F51" i="1"/>
  <c r="F50" i="1"/>
  <c r="B48" i="1"/>
  <c r="F44" i="1"/>
  <c r="F48" i="1" s="1"/>
  <c r="B39" i="1"/>
  <c r="B24" i="1"/>
  <c r="B32" i="1" s="1"/>
  <c r="B14" i="1"/>
  <c r="B8" i="1"/>
  <c r="F52" i="1" l="1"/>
  <c r="B10" i="3"/>
  <c r="F6" i="3"/>
  <c r="F6" i="2"/>
  <c r="F7" i="1"/>
  <c r="F16" i="1"/>
  <c r="F23" i="1" s="1"/>
  <c r="F41" i="1"/>
  <c r="F42" i="1" s="1"/>
  <c r="F6" i="1"/>
  <c r="B42" i="1"/>
  <c r="F13" i="2" l="1"/>
  <c r="F14" i="2" s="1"/>
  <c r="F10" i="3"/>
  <c r="F11" i="3" s="1"/>
  <c r="F12" i="3" s="1"/>
  <c r="F13" i="3" s="1"/>
  <c r="F8" i="1"/>
  <c r="F60" i="1" s="1"/>
  <c r="F61" i="1" l="1"/>
  <c r="F62" i="1" s="1"/>
  <c r="F15" i="2"/>
  <c r="F16" i="2"/>
</calcChain>
</file>

<file path=xl/sharedStrings.xml><?xml version="1.0" encoding="utf-8"?>
<sst xmlns="http://schemas.openxmlformats.org/spreadsheetml/2006/main" count="184" uniqueCount="103">
  <si>
    <t>CADRE DE DECOMPOSITION DE PRIX GLOBAL ET FORFAITAIRE</t>
  </si>
  <si>
    <t>DESIGNATION</t>
  </si>
  <si>
    <t>U</t>
  </si>
  <si>
    <t>Qté</t>
  </si>
  <si>
    <t>PU</t>
  </si>
  <si>
    <t>Total HT</t>
  </si>
  <si>
    <t>Ft</t>
  </si>
  <si>
    <t>ml</t>
  </si>
  <si>
    <t>Ens</t>
  </si>
  <si>
    <t>1.1</t>
  </si>
  <si>
    <t>1.2</t>
  </si>
  <si>
    <t>1.3</t>
  </si>
  <si>
    <t>1.4</t>
  </si>
  <si>
    <t>1.5</t>
  </si>
  <si>
    <t>1.6</t>
  </si>
  <si>
    <t>1.7</t>
  </si>
  <si>
    <t>2.1</t>
  </si>
  <si>
    <t>3.1</t>
  </si>
  <si>
    <t>4.1</t>
  </si>
  <si>
    <t>4.2</t>
  </si>
  <si>
    <t>4.3</t>
  </si>
  <si>
    <t>4.4</t>
  </si>
  <si>
    <t>5.1</t>
  </si>
  <si>
    <t>5.2</t>
  </si>
  <si>
    <t>6.1</t>
  </si>
  <si>
    <t>6.2</t>
  </si>
  <si>
    <t>6.3</t>
  </si>
  <si>
    <t>6.4</t>
  </si>
  <si>
    <t>6.5</t>
  </si>
  <si>
    <t>N°</t>
  </si>
  <si>
    <t>5.3</t>
  </si>
  <si>
    <t>REHABILATION D'UN BATIMENT COMMUNE DE VÉREAUX : RESTAURANT ET LOGEMENT</t>
  </si>
  <si>
    <t>2.2</t>
  </si>
  <si>
    <t>3.2</t>
  </si>
  <si>
    <t>3.3</t>
  </si>
  <si>
    <t>2.3</t>
  </si>
  <si>
    <t>2.4</t>
  </si>
  <si>
    <t>3.4</t>
  </si>
  <si>
    <t>3.5</t>
  </si>
  <si>
    <t>3.6</t>
  </si>
  <si>
    <t>3.7</t>
  </si>
  <si>
    <t>4.5</t>
  </si>
  <si>
    <t>4.6</t>
  </si>
  <si>
    <t>4.7</t>
  </si>
  <si>
    <t>5.4</t>
  </si>
  <si>
    <t>5.5</t>
  </si>
  <si>
    <t xml:space="preserve">DÉPOSE ET PREPARATION </t>
  </si>
  <si>
    <t>Dépose installation chauffage existante (chaudière + radiateurs) – évacuation comprise</t>
  </si>
  <si>
    <t>Socles béton + plots antivibratiles pour PAC en local chaufferie</t>
  </si>
  <si>
    <t>Régulation numérique (type géolia) + sondes température extérieure et ambiance</t>
  </si>
  <si>
    <t>Armoire électrique dédiée – protections + raccordements conformes NF C 15.100</t>
  </si>
  <si>
    <t>Comptage : compteur thermique + compteur électrique (communicants)</t>
  </si>
  <si>
    <t>Pompe à débit variable classe A énergétique + manchons antivibratiles + vannes isolement</t>
  </si>
  <si>
    <t>Filtre magnétique + filtre à tamis</t>
  </si>
  <si>
    <t>Réservoir eau-glycolée (remplissage) + circulateur simple débit constant + vannes isolement</t>
  </si>
  <si>
    <t>Vase d'expansion fermé à vessie 35-50L (eau-glycolée)</t>
  </si>
  <si>
    <t>Vannes d'isolement + vannes de réglage + soupape sécurité + robinet vidange avec bac récupération</t>
  </si>
  <si>
    <t>Thermomètres + manomètres (entrée/sortie PAC + collecteurs)</t>
  </si>
  <si>
    <t>Réseau tube cuivre Ø22 + raccords + supports (captage vers PAC)</t>
  </si>
  <si>
    <t>Pompe à débit variable classe A + manchons antivibratiles + vannes isolement</t>
  </si>
  <si>
    <t>Filtre à tamis</t>
  </si>
  <si>
    <t>Vase d'expansion fermé à vessie – circuit chauffage (commun installation)</t>
  </si>
  <si>
    <t>Soupape de sécurité tarée selon pression statique + raccordement collecteur vidange</t>
  </si>
  <si>
    <t>Vannes d'isolement + robinet vidange (départ/retour – vanne boisseau sphérique)</t>
  </si>
  <si>
    <t>Sondes température (4 unités : départ/retour) + thermomètres + manomètres</t>
  </si>
  <si>
    <t>Réseau tube cuivre Ø22 + raccords + supports (primaire chauffage)</t>
  </si>
  <si>
    <t>Ballon tampon acier carbone 200L isolé PU (λ=0,025 W/m.K) – installation verticale au sol</t>
  </si>
  <si>
    <t>Dispositif de vidange pour élimination des boues + purgeur d'air + trappe de visite</t>
  </si>
  <si>
    <t>Réserve tampon – vannes isolement AR/AD + raccordements découplage hydraulique</t>
  </si>
  <si>
    <t>Pressostat manque d'eau (retour point bas) – résistant fluides corrosifs + arrêt PAC/circulateurs</t>
  </si>
  <si>
    <t>Filtre à boues magnétique en continu – corps acier + barreau magnétique + manomètres inox</t>
  </si>
  <si>
    <t>Vidange complète de chaque circuit séparément – piquages départ/retour avec vannes boisseau sphérique</t>
  </si>
  <si>
    <t>Collecteurs laiton AR/AD (10 départs minimum) avec vannes isolement – repérage inclus</t>
  </si>
  <si>
    <t>POMPE SECONDARY DISTRIBUTION - Classe A entre ballon tampon et collecteurs radiateurs/VC + manchons antivibratiles</t>
  </si>
  <si>
    <t>Tube multicouche pré-fourré Ø16/20 – distribution radiateurs/VC</t>
  </si>
  <si>
    <t>Calorifuge classe 4 sur réseaux ECS/chauffage (manchon élastomère)</t>
  </si>
  <si>
    <t>Organes de commande + régulation – câblage complet tableaux, asservissements, programmation</t>
  </si>
  <si>
    <t>Raccordements électriques de l'ensemble des appareils (PAC, pompes, vannes motorisées, compteurs)</t>
  </si>
  <si>
    <t>DOE complet : plans récolement + schémas + certificats matériels + notices</t>
  </si>
  <si>
    <t>DIUO (Dossier Installation Utilisation Opérations)</t>
  </si>
  <si>
    <t>Formation utilisateurs (exploitation + maintenance)</t>
  </si>
  <si>
    <t>Contrôle technique + essais (étanchéité, mise en température, fonctionnement) + rapports + CONSUEL</t>
  </si>
  <si>
    <t>Mise en chauffe provisoire + déshumidification + rinçage réseaux</t>
  </si>
  <si>
    <t>RADIATEURS</t>
  </si>
  <si>
    <t>Radiateur BT acier type 22 ~800W + robinet thermostatique – Cuisine</t>
  </si>
  <si>
    <t>Ventilo-convecteur ~1200W (cassette) – Chambre 1 18,8m² – F&amp;P + raccordement + évacuation condensats</t>
  </si>
  <si>
    <t>Ventilo-convecteur ~1000W (cassette) – Chambre 2 13,65m² – F&amp;P + raccordement + évacuation condensats</t>
  </si>
  <si>
    <t>Radiateur BT acier type 22 ~800W + robinet thermostatique – Local Plonge 6,55m²</t>
  </si>
  <si>
    <t>Radiateur BT acier type 22 ~1000W + robinet thermostatique – Cuisine 6,55m²</t>
  </si>
  <si>
    <t>Radiateur BT acier type 22 ~600W + robinet thermostatique – Réserve</t>
  </si>
  <si>
    <t>Radiateur BT acier type 22 ~1200W + robinet thermostatique – Salle Bar 10,8m²</t>
  </si>
  <si>
    <t>Radiateur BT acier type 22 ~600W + robinet thermostatique – Sanitaires 6,75m²</t>
  </si>
  <si>
    <t>Radiateur BT acier type 22 ~1500W + robinet thermostatique – Salle Restaurant 43m²</t>
  </si>
  <si>
    <t>Radiateur BT acier type 22 ~800W + robinet thermostatique – Couloir 1 7,4m²</t>
  </si>
  <si>
    <t>RADIATEURS RDC + R+1</t>
  </si>
  <si>
    <t>PAC eau-glycolée/eau 8kW double compresseur classe A+++</t>
  </si>
  <si>
    <t xml:space="preserve">Radiateur BT acier type 22 ~1500W + robinet thermostatique – Salon/Séjour </t>
  </si>
  <si>
    <t>ens</t>
  </si>
  <si>
    <t xml:space="preserve">PAC GÉOTHERMIQUE </t>
  </si>
  <si>
    <t>TOTAL € HT</t>
  </si>
  <si>
    <t>TVA 20%</t>
  </si>
  <si>
    <t>TOTAL € TTC</t>
  </si>
  <si>
    <t>Lot 08 : CHAUFFAGE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</si>
</sst>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\ &quot;€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entury Gothic"/>
      <family val="2"/>
    </font>
    <font>
      <sz val="11"/>
      <name val="Century Gothic"/>
      <family val="2"/>
    </font>
    <font>
      <b/>
      <sz val="14"/>
      <color rgb="FF00B050"/>
      <name val="Century Gothic"/>
      <family val="2"/>
    </font>
    <font>
      <b/>
      <sz val="12"/>
      <name val="Century Gothic"/>
      <family val="2"/>
    </font>
    <font>
      <b/>
      <sz val="11"/>
      <name val="Century Gothic"/>
      <family val="2"/>
    </font>
    <font>
      <b/>
      <sz val="10"/>
      <name val="Century Gothic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6" fillId="0" borderId="8" xfId="0" applyNumberFormat="1" applyFont="1" applyBorder="1" applyAlignment="1">
      <alignment horizontal="center" vertical="center" wrapText="1"/>
    </xf>
    <xf numFmtId="164" fontId="5" fillId="0" borderId="9" xfId="0" applyNumberFormat="1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7" xfId="0" applyBorder="1"/>
    <xf numFmtId="0" fontId="0" fillId="2" borderId="5" xfId="0" applyFill="1" applyBorder="1"/>
    <xf numFmtId="0" fontId="0" fillId="2" borderId="5" xfId="0" applyFill="1" applyBorder="1" applyAlignment="1">
      <alignment horizontal="center" vertical="center"/>
    </xf>
    <xf numFmtId="0" fontId="1" fillId="2" borderId="5" xfId="0" applyFont="1" applyFill="1" applyBorder="1"/>
    <xf numFmtId="0" fontId="1" fillId="0" borderId="6" xfId="0" applyFont="1" applyBorder="1"/>
    <xf numFmtId="165" fontId="0" fillId="0" borderId="6" xfId="0" applyNumberFormat="1" applyBorder="1"/>
    <xf numFmtId="165" fontId="0" fillId="0" borderId="12" xfId="0" applyNumberFormat="1" applyBorder="1"/>
    <xf numFmtId="165" fontId="0" fillId="0" borderId="7" xfId="0" applyNumberFormat="1" applyBorder="1"/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165" fontId="0" fillId="0" borderId="14" xfId="0" applyNumberFormat="1" applyBorder="1"/>
    <xf numFmtId="0" fontId="0" fillId="2" borderId="15" xfId="0" applyFill="1" applyBorder="1" applyAlignment="1">
      <alignment horizontal="center"/>
    </xf>
    <xf numFmtId="165" fontId="1" fillId="0" borderId="14" xfId="0" applyNumberFormat="1" applyFont="1" applyBorder="1"/>
    <xf numFmtId="0" fontId="0" fillId="0" borderId="16" xfId="0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1" fillId="2" borderId="18" xfId="0" applyFont="1" applyFill="1" applyBorder="1"/>
    <xf numFmtId="0" fontId="0" fillId="2" borderId="18" xfId="0" applyFill="1" applyBorder="1" applyAlignment="1">
      <alignment horizontal="center" vertical="center"/>
    </xf>
    <xf numFmtId="0" fontId="0" fillId="2" borderId="18" xfId="0" applyFill="1" applyBorder="1"/>
    <xf numFmtId="165" fontId="0" fillId="2" borderId="19" xfId="0" applyNumberFormat="1" applyFill="1" applyBorder="1"/>
    <xf numFmtId="165" fontId="1" fillId="0" borderId="20" xfId="0" applyNumberFormat="1" applyFont="1" applyBorder="1"/>
    <xf numFmtId="165" fontId="0" fillId="0" borderId="0" xfId="0" applyNumberFormat="1"/>
    <xf numFmtId="0" fontId="1" fillId="2" borderId="18" xfId="0" applyFont="1" applyFill="1" applyBorder="1" applyAlignment="1">
      <alignment horizontal="right"/>
    </xf>
    <xf numFmtId="165" fontId="1" fillId="2" borderId="18" xfId="0" applyNumberFormat="1" applyFont="1" applyFill="1" applyBorder="1"/>
    <xf numFmtId="165" fontId="1" fillId="0" borderId="22" xfId="0" applyNumberFormat="1" applyFont="1" applyBorder="1"/>
    <xf numFmtId="165" fontId="1" fillId="0" borderId="21" xfId="0" applyNumberFormat="1" applyFont="1" applyBorder="1"/>
    <xf numFmtId="20" fontId="3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showZeros="0" topLeftCell="A39" zoomScale="85" zoomScaleNormal="85" workbookViewId="0">
      <selection activeCell="F60" sqref="F60"/>
    </sheetView>
  </sheetViews>
  <sheetFormatPr baseColWidth="10" defaultRowHeight="15" x14ac:dyDescent="0.25"/>
  <cols>
    <col min="1" max="1" width="11.5703125" style="3"/>
    <col min="2" max="2" width="99.5703125" bestFit="1" customWidth="1"/>
    <col min="3" max="3" width="11.5703125" style="2"/>
    <col min="5" max="5" width="14.5703125" customWidth="1"/>
    <col min="6" max="6" width="27.85546875" customWidth="1"/>
  </cols>
  <sheetData>
    <row r="1" spans="1:6" s="1" customFormat="1" ht="101.45" customHeight="1" x14ac:dyDescent="0.3">
      <c r="A1" s="42" t="s">
        <v>31</v>
      </c>
      <c r="B1" s="42"/>
      <c r="C1" s="42"/>
      <c r="D1" s="42"/>
      <c r="E1" s="42"/>
      <c r="F1" s="42"/>
    </row>
    <row r="2" spans="1:6" s="1" customFormat="1" ht="21.6" customHeight="1" thickBot="1" x14ac:dyDescent="0.35">
      <c r="A2" s="43" t="s">
        <v>102</v>
      </c>
      <c r="B2" s="43"/>
      <c r="C2" s="43"/>
      <c r="D2" s="43"/>
      <c r="E2" s="43"/>
      <c r="F2" s="43"/>
    </row>
    <row r="3" spans="1:6" s="1" customFormat="1" ht="49.15" customHeight="1" thickBot="1" x14ac:dyDescent="0.35">
      <c r="A3" s="44" t="s">
        <v>0</v>
      </c>
      <c r="B3" s="45"/>
      <c r="C3" s="45"/>
      <c r="D3" s="45"/>
      <c r="E3" s="45"/>
      <c r="F3" s="46"/>
    </row>
    <row r="4" spans="1:6" s="1" customFormat="1" ht="34.9" customHeight="1" x14ac:dyDescent="0.3">
      <c r="A4" s="4" t="s">
        <v>29</v>
      </c>
      <c r="B4" s="5" t="s">
        <v>1</v>
      </c>
      <c r="C4" s="6" t="s">
        <v>2</v>
      </c>
      <c r="D4" s="7" t="s">
        <v>3</v>
      </c>
      <c r="E4" s="7" t="s">
        <v>4</v>
      </c>
      <c r="F4" s="8" t="s">
        <v>5</v>
      </c>
    </row>
    <row r="5" spans="1:6" x14ac:dyDescent="0.25">
      <c r="A5" s="24">
        <v>1</v>
      </c>
      <c r="B5" s="18" t="s">
        <v>46</v>
      </c>
      <c r="C5" s="11"/>
      <c r="D5" s="9"/>
      <c r="E5" s="9"/>
      <c r="F5" s="25"/>
    </row>
    <row r="6" spans="1:6" x14ac:dyDescent="0.25">
      <c r="A6" s="24" t="s">
        <v>9</v>
      </c>
      <c r="B6" s="9" t="s">
        <v>47</v>
      </c>
      <c r="C6" s="22" t="s">
        <v>6</v>
      </c>
      <c r="D6" s="9">
        <v>1</v>
      </c>
      <c r="E6" s="21">
        <v>1950</v>
      </c>
      <c r="F6" s="26">
        <f>+E6*D6</f>
        <v>1950</v>
      </c>
    </row>
    <row r="7" spans="1:6" x14ac:dyDescent="0.25">
      <c r="A7" s="24" t="s">
        <v>10</v>
      </c>
      <c r="B7" s="9" t="s">
        <v>48</v>
      </c>
      <c r="C7" s="22" t="s">
        <v>8</v>
      </c>
      <c r="D7" s="12">
        <v>1</v>
      </c>
      <c r="E7" s="21">
        <v>585</v>
      </c>
      <c r="F7" s="26">
        <f>+E7*D7</f>
        <v>585</v>
      </c>
    </row>
    <row r="8" spans="1:6" x14ac:dyDescent="0.25">
      <c r="A8" s="27"/>
      <c r="B8" s="17" t="str">
        <f>+"SOUS.TOTAL " &amp; B5</f>
        <v xml:space="preserve">SOUS.TOTAL DÉPOSE ET PREPARATION </v>
      </c>
      <c r="C8" s="16"/>
      <c r="D8" s="15"/>
      <c r="E8" s="21">
        <v>0</v>
      </c>
      <c r="F8" s="28">
        <f>SUM(F6:F7)</f>
        <v>2535</v>
      </c>
    </row>
    <row r="9" spans="1:6" x14ac:dyDescent="0.25">
      <c r="A9" s="29">
        <v>2</v>
      </c>
      <c r="B9" s="18" t="s">
        <v>98</v>
      </c>
      <c r="C9" s="11"/>
      <c r="D9" s="14"/>
      <c r="E9" s="21">
        <v>0</v>
      </c>
      <c r="F9" s="26"/>
    </row>
    <row r="10" spans="1:6" x14ac:dyDescent="0.25">
      <c r="A10" s="29" t="s">
        <v>16</v>
      </c>
      <c r="B10" s="9" t="s">
        <v>95</v>
      </c>
      <c r="C10" s="22" t="s">
        <v>2</v>
      </c>
      <c r="D10" s="14">
        <v>1</v>
      </c>
      <c r="E10" s="21">
        <v>26000</v>
      </c>
      <c r="F10" s="26">
        <f>+E10*D10</f>
        <v>26000</v>
      </c>
    </row>
    <row r="11" spans="1:6" x14ac:dyDescent="0.25">
      <c r="A11" s="29" t="s">
        <v>32</v>
      </c>
      <c r="B11" s="9" t="s">
        <v>49</v>
      </c>
      <c r="C11" s="22" t="s">
        <v>8</v>
      </c>
      <c r="D11" s="14">
        <v>1</v>
      </c>
      <c r="E11" s="21">
        <v>2600</v>
      </c>
      <c r="F11" s="26">
        <f>+E11*D11</f>
        <v>2600</v>
      </c>
    </row>
    <row r="12" spans="1:6" x14ac:dyDescent="0.25">
      <c r="A12" s="29" t="s">
        <v>35</v>
      </c>
      <c r="B12" s="9" t="s">
        <v>50</v>
      </c>
      <c r="C12" s="22" t="s">
        <v>8</v>
      </c>
      <c r="D12" s="14">
        <v>1</v>
      </c>
      <c r="E12" s="21">
        <v>2860</v>
      </c>
      <c r="F12" s="26">
        <f>+E12*D12</f>
        <v>2860</v>
      </c>
    </row>
    <row r="13" spans="1:6" x14ac:dyDescent="0.25">
      <c r="A13" s="29" t="s">
        <v>36</v>
      </c>
      <c r="B13" s="9" t="s">
        <v>51</v>
      </c>
      <c r="C13" s="22" t="s">
        <v>8</v>
      </c>
      <c r="D13" s="14">
        <v>1</v>
      </c>
      <c r="E13" s="21">
        <v>1690</v>
      </c>
      <c r="F13" s="26">
        <f>+E13*D13</f>
        <v>1690</v>
      </c>
    </row>
    <row r="14" spans="1:6" x14ac:dyDescent="0.25">
      <c r="A14" s="27"/>
      <c r="B14" s="17" t="str">
        <f>+"SOUS.TOTAL " &amp; B9</f>
        <v xml:space="preserve">SOUS.TOTAL PAC GÉOTHERMIQUE </v>
      </c>
      <c r="C14" s="16"/>
      <c r="D14" s="15"/>
      <c r="E14" s="21">
        <v>0</v>
      </c>
      <c r="F14" s="28">
        <f>SUM(F10:F13)</f>
        <v>33150</v>
      </c>
    </row>
    <row r="15" spans="1:6" x14ac:dyDescent="0.25">
      <c r="A15" s="24">
        <v>3</v>
      </c>
      <c r="B15" s="18" t="str">
        <f>+UPPER("Circuit primaire – Captage ")</f>
        <v xml:space="preserve">CIRCUIT PRIMAIRE – CAPTAGE </v>
      </c>
      <c r="C15" s="11"/>
      <c r="D15" s="9"/>
      <c r="E15" s="21">
        <v>0</v>
      </c>
      <c r="F15" s="26"/>
    </row>
    <row r="16" spans="1:6" x14ac:dyDescent="0.25">
      <c r="A16" s="29" t="s">
        <v>17</v>
      </c>
      <c r="B16" s="9" t="s">
        <v>52</v>
      </c>
      <c r="C16" s="22" t="s">
        <v>2</v>
      </c>
      <c r="D16" s="14">
        <v>1</v>
      </c>
      <c r="E16" s="21">
        <v>1365</v>
      </c>
      <c r="F16" s="26">
        <f t="shared" ref="F16:F22" si="0">+E16*D16</f>
        <v>1365</v>
      </c>
    </row>
    <row r="17" spans="1:6" x14ac:dyDescent="0.25">
      <c r="A17" s="29" t="s">
        <v>33</v>
      </c>
      <c r="B17" s="9" t="s">
        <v>53</v>
      </c>
      <c r="C17" s="22" t="s">
        <v>8</v>
      </c>
      <c r="D17" s="14">
        <v>1</v>
      </c>
      <c r="E17" s="21">
        <v>910</v>
      </c>
      <c r="F17" s="26">
        <f t="shared" si="0"/>
        <v>910</v>
      </c>
    </row>
    <row r="18" spans="1:6" x14ac:dyDescent="0.25">
      <c r="A18" s="29" t="s">
        <v>34</v>
      </c>
      <c r="B18" s="9" t="s">
        <v>54</v>
      </c>
      <c r="C18" s="22" t="s">
        <v>8</v>
      </c>
      <c r="D18" s="14">
        <v>1</v>
      </c>
      <c r="E18" s="21">
        <v>845</v>
      </c>
      <c r="F18" s="26">
        <f t="shared" si="0"/>
        <v>845</v>
      </c>
    </row>
    <row r="19" spans="1:6" x14ac:dyDescent="0.25">
      <c r="A19" s="29" t="s">
        <v>37</v>
      </c>
      <c r="B19" s="9" t="s">
        <v>55</v>
      </c>
      <c r="C19" s="22" t="s">
        <v>2</v>
      </c>
      <c r="D19" s="14">
        <v>1</v>
      </c>
      <c r="E19" s="21">
        <v>208</v>
      </c>
      <c r="F19" s="26">
        <f t="shared" si="0"/>
        <v>208</v>
      </c>
    </row>
    <row r="20" spans="1:6" x14ac:dyDescent="0.25">
      <c r="A20" s="29" t="s">
        <v>38</v>
      </c>
      <c r="B20" s="9" t="s">
        <v>56</v>
      </c>
      <c r="C20" s="22" t="s">
        <v>8</v>
      </c>
      <c r="D20" s="14">
        <v>1</v>
      </c>
      <c r="E20" s="21">
        <v>780</v>
      </c>
      <c r="F20" s="26">
        <f t="shared" si="0"/>
        <v>780</v>
      </c>
    </row>
    <row r="21" spans="1:6" x14ac:dyDescent="0.25">
      <c r="A21" s="29" t="s">
        <v>39</v>
      </c>
      <c r="B21" s="9" t="s">
        <v>57</v>
      </c>
      <c r="C21" s="22" t="s">
        <v>8</v>
      </c>
      <c r="D21" s="14">
        <v>1</v>
      </c>
      <c r="E21" s="21">
        <v>416</v>
      </c>
      <c r="F21" s="26">
        <f t="shared" si="0"/>
        <v>416</v>
      </c>
    </row>
    <row r="22" spans="1:6" x14ac:dyDescent="0.25">
      <c r="A22" s="29" t="s">
        <v>40</v>
      </c>
      <c r="B22" s="9" t="s">
        <v>58</v>
      </c>
      <c r="C22" s="22" t="s">
        <v>7</v>
      </c>
      <c r="D22" s="14">
        <v>25</v>
      </c>
      <c r="E22" s="21">
        <v>39</v>
      </c>
      <c r="F22" s="26">
        <f t="shared" si="0"/>
        <v>975</v>
      </c>
    </row>
    <row r="23" spans="1:6" x14ac:dyDescent="0.25">
      <c r="A23" s="27"/>
      <c r="B23" s="17" t="str">
        <f>+"SOUS.TOTAL " &amp;B15</f>
        <v xml:space="preserve">SOUS.TOTAL CIRCUIT PRIMAIRE – CAPTAGE </v>
      </c>
      <c r="C23" s="16"/>
      <c r="D23" s="15"/>
      <c r="E23" s="21">
        <v>0</v>
      </c>
      <c r="F23" s="28">
        <f>SUM(F16:F22)</f>
        <v>5499</v>
      </c>
    </row>
    <row r="24" spans="1:6" x14ac:dyDescent="0.25">
      <c r="A24" s="24">
        <v>4</v>
      </c>
      <c r="B24" s="18" t="str">
        <f>+UPPER("Circuit primaire – Chauffage")</f>
        <v>CIRCUIT PRIMAIRE – CHAUFFAGE</v>
      </c>
      <c r="C24" s="11"/>
      <c r="D24" s="9"/>
      <c r="E24" s="21">
        <v>0</v>
      </c>
      <c r="F24" s="26"/>
    </row>
    <row r="25" spans="1:6" x14ac:dyDescent="0.25">
      <c r="A25" s="24" t="s">
        <v>18</v>
      </c>
      <c r="B25" s="9" t="s">
        <v>59</v>
      </c>
      <c r="C25" s="22" t="s">
        <v>2</v>
      </c>
      <c r="D25" s="9">
        <v>1</v>
      </c>
      <c r="E25" s="21">
        <v>1365</v>
      </c>
      <c r="F25" s="26">
        <f t="shared" ref="F25:F31" si="1">+E25*D25</f>
        <v>1365</v>
      </c>
    </row>
    <row r="26" spans="1:6" x14ac:dyDescent="0.25">
      <c r="A26" s="24" t="s">
        <v>19</v>
      </c>
      <c r="B26" s="9" t="s">
        <v>60</v>
      </c>
      <c r="C26" s="22" t="s">
        <v>2</v>
      </c>
      <c r="D26" s="9">
        <v>1</v>
      </c>
      <c r="E26" s="21">
        <v>260</v>
      </c>
      <c r="F26" s="26">
        <f t="shared" si="1"/>
        <v>260</v>
      </c>
    </row>
    <row r="27" spans="1:6" x14ac:dyDescent="0.25">
      <c r="A27" s="24" t="s">
        <v>20</v>
      </c>
      <c r="B27" s="9" t="s">
        <v>61</v>
      </c>
      <c r="C27" s="22" t="s">
        <v>2</v>
      </c>
      <c r="D27" s="9">
        <v>1</v>
      </c>
      <c r="E27" s="21">
        <v>208</v>
      </c>
      <c r="F27" s="26">
        <f t="shared" si="1"/>
        <v>208</v>
      </c>
    </row>
    <row r="28" spans="1:6" x14ac:dyDescent="0.25">
      <c r="A28" s="24" t="s">
        <v>21</v>
      </c>
      <c r="B28" s="9" t="s">
        <v>62</v>
      </c>
      <c r="C28" s="22" t="s">
        <v>2</v>
      </c>
      <c r="D28" s="9">
        <v>1</v>
      </c>
      <c r="E28" s="21">
        <v>234</v>
      </c>
      <c r="F28" s="26">
        <f t="shared" si="1"/>
        <v>234</v>
      </c>
    </row>
    <row r="29" spans="1:6" x14ac:dyDescent="0.25">
      <c r="A29" s="24" t="s">
        <v>41</v>
      </c>
      <c r="B29" s="9" t="s">
        <v>63</v>
      </c>
      <c r="C29" s="22" t="s">
        <v>8</v>
      </c>
      <c r="D29" s="9">
        <v>1</v>
      </c>
      <c r="E29" s="21">
        <v>494</v>
      </c>
      <c r="F29" s="26">
        <f t="shared" si="1"/>
        <v>494</v>
      </c>
    </row>
    <row r="30" spans="1:6" x14ac:dyDescent="0.25">
      <c r="A30" s="24" t="s">
        <v>42</v>
      </c>
      <c r="B30" s="9" t="s">
        <v>64</v>
      </c>
      <c r="C30" s="22" t="s">
        <v>8</v>
      </c>
      <c r="D30" s="9">
        <v>1</v>
      </c>
      <c r="E30" s="21">
        <v>494</v>
      </c>
      <c r="F30" s="26">
        <f t="shared" si="1"/>
        <v>494</v>
      </c>
    </row>
    <row r="31" spans="1:6" x14ac:dyDescent="0.25">
      <c r="A31" s="24" t="s">
        <v>43</v>
      </c>
      <c r="B31" s="9" t="s">
        <v>65</v>
      </c>
      <c r="C31" s="22" t="s">
        <v>7</v>
      </c>
      <c r="D31" s="9">
        <v>30</v>
      </c>
      <c r="E31" s="21">
        <v>39</v>
      </c>
      <c r="F31" s="26">
        <f t="shared" si="1"/>
        <v>1170</v>
      </c>
    </row>
    <row r="32" spans="1:6" x14ac:dyDescent="0.25">
      <c r="A32" s="27"/>
      <c r="B32" s="17" t="str">
        <f>+"SOUS.TOTAL " &amp;B24</f>
        <v>SOUS.TOTAL CIRCUIT PRIMAIRE – CHAUFFAGE</v>
      </c>
      <c r="C32" s="16"/>
      <c r="D32" s="15"/>
      <c r="E32" s="21">
        <v>0</v>
      </c>
      <c r="F32" s="28">
        <f>SUM(F25:F31)</f>
        <v>4225</v>
      </c>
    </row>
    <row r="33" spans="1:6" x14ac:dyDescent="0.25">
      <c r="A33" s="24">
        <v>5</v>
      </c>
      <c r="B33" s="18" t="str">
        <f>UPPER("Ballon tampon et sécurités")</f>
        <v>BALLON TAMPON ET SÉCURITÉS</v>
      </c>
      <c r="C33" s="11"/>
      <c r="D33" s="9"/>
      <c r="E33" s="21">
        <v>0</v>
      </c>
      <c r="F33" s="26"/>
    </row>
    <row r="34" spans="1:6" x14ac:dyDescent="0.25">
      <c r="A34" s="24" t="s">
        <v>22</v>
      </c>
      <c r="B34" s="9" t="s">
        <v>66</v>
      </c>
      <c r="C34" s="22" t="s">
        <v>2</v>
      </c>
      <c r="D34" s="9">
        <v>1</v>
      </c>
      <c r="E34" s="21">
        <v>2340</v>
      </c>
      <c r="F34" s="26">
        <f>+E34*D34</f>
        <v>2340</v>
      </c>
    </row>
    <row r="35" spans="1:6" x14ac:dyDescent="0.25">
      <c r="A35" s="24" t="s">
        <v>23</v>
      </c>
      <c r="B35" s="9" t="s">
        <v>67</v>
      </c>
      <c r="C35" s="22" t="s">
        <v>8</v>
      </c>
      <c r="D35" s="9">
        <v>1</v>
      </c>
      <c r="E35" s="21">
        <v>494</v>
      </c>
      <c r="F35" s="26">
        <f>+E35*D35</f>
        <v>494</v>
      </c>
    </row>
    <row r="36" spans="1:6" x14ac:dyDescent="0.25">
      <c r="A36" s="24" t="s">
        <v>30</v>
      </c>
      <c r="B36" s="9" t="s">
        <v>68</v>
      </c>
      <c r="C36" s="22" t="s">
        <v>8</v>
      </c>
      <c r="D36" s="9">
        <v>1</v>
      </c>
      <c r="E36" s="21">
        <v>455</v>
      </c>
      <c r="F36" s="26">
        <f>+E36*D36</f>
        <v>455</v>
      </c>
    </row>
    <row r="37" spans="1:6" x14ac:dyDescent="0.25">
      <c r="A37" s="24" t="s">
        <v>44</v>
      </c>
      <c r="B37" s="9" t="s">
        <v>69</v>
      </c>
      <c r="C37" s="22" t="s">
        <v>2</v>
      </c>
      <c r="D37" s="9">
        <v>1</v>
      </c>
      <c r="E37" s="21">
        <v>364</v>
      </c>
      <c r="F37" s="26">
        <f>+E37*D37</f>
        <v>364</v>
      </c>
    </row>
    <row r="38" spans="1:6" x14ac:dyDescent="0.25">
      <c r="A38" s="24" t="s">
        <v>45</v>
      </c>
      <c r="B38" s="9" t="s">
        <v>70</v>
      </c>
      <c r="C38" s="22" t="s">
        <v>8</v>
      </c>
      <c r="D38" s="9">
        <v>1</v>
      </c>
      <c r="E38" s="21">
        <v>1105</v>
      </c>
      <c r="F38" s="26">
        <f>+E38*D38</f>
        <v>1105</v>
      </c>
    </row>
    <row r="39" spans="1:6" x14ac:dyDescent="0.25">
      <c r="A39" s="27"/>
      <c r="B39" s="17" t="str">
        <f>+"SOUS.TOTAL " &amp;B33</f>
        <v>SOUS.TOTAL BALLON TAMPON ET SÉCURITÉS</v>
      </c>
      <c r="C39" s="16"/>
      <c r="D39" s="15"/>
      <c r="E39" s="21">
        <v>0</v>
      </c>
      <c r="F39" s="28">
        <f>SUM(F34:F38)</f>
        <v>4758</v>
      </c>
    </row>
    <row r="40" spans="1:6" x14ac:dyDescent="0.25">
      <c r="A40" s="24">
        <v>6</v>
      </c>
      <c r="B40" s="18" t="str">
        <f>+UPPER("Vidange réseaux")</f>
        <v>VIDANGE RÉSEAUX</v>
      </c>
      <c r="C40" s="11"/>
      <c r="D40" s="9"/>
      <c r="E40" s="21">
        <v>0</v>
      </c>
      <c r="F40" s="26"/>
    </row>
    <row r="41" spans="1:6" x14ac:dyDescent="0.25">
      <c r="A41" s="24" t="s">
        <v>24</v>
      </c>
      <c r="B41" s="9" t="s">
        <v>71</v>
      </c>
      <c r="C41" s="22" t="s">
        <v>8</v>
      </c>
      <c r="D41" s="9">
        <v>1</v>
      </c>
      <c r="E41" s="21">
        <v>455</v>
      </c>
      <c r="F41" s="26">
        <f>+E41*D41</f>
        <v>455</v>
      </c>
    </row>
    <row r="42" spans="1:6" x14ac:dyDescent="0.25">
      <c r="A42" s="27"/>
      <c r="B42" s="17" t="str">
        <f>+"SOUS.TOTAL " &amp; B40</f>
        <v>SOUS.TOTAL VIDANGE RÉSEAUX</v>
      </c>
      <c r="C42" s="16"/>
      <c r="D42" s="15"/>
      <c r="E42" s="21">
        <v>0</v>
      </c>
      <c r="F42" s="28">
        <f>SUM(F41)</f>
        <v>455</v>
      </c>
    </row>
    <row r="43" spans="1:6" x14ac:dyDescent="0.25">
      <c r="A43" s="24">
        <v>7</v>
      </c>
      <c r="B43" s="18" t="str">
        <f>+UPPER("Distribution vers émetteurs")</f>
        <v>DISTRIBUTION VERS ÉMETTEURS</v>
      </c>
      <c r="C43" s="11"/>
      <c r="D43" s="9"/>
      <c r="E43" s="21">
        <v>0</v>
      </c>
      <c r="F43" s="26"/>
    </row>
    <row r="44" spans="1:6" x14ac:dyDescent="0.25">
      <c r="A44" s="24" t="s">
        <v>24</v>
      </c>
      <c r="B44" s="9" t="s">
        <v>72</v>
      </c>
      <c r="C44" s="22" t="s">
        <v>8</v>
      </c>
      <c r="D44" s="9">
        <v>1</v>
      </c>
      <c r="E44" s="21">
        <v>975</v>
      </c>
      <c r="F44" s="26">
        <f>+E44*D44</f>
        <v>975</v>
      </c>
    </row>
    <row r="45" spans="1:6" x14ac:dyDescent="0.25">
      <c r="A45" s="24" t="s">
        <v>25</v>
      </c>
      <c r="B45" s="9" t="s">
        <v>73</v>
      </c>
      <c r="C45" s="22" t="s">
        <v>2</v>
      </c>
      <c r="D45" s="9">
        <v>1</v>
      </c>
      <c r="E45" s="21">
        <v>1365</v>
      </c>
      <c r="F45" s="26">
        <f>+E45*D45</f>
        <v>1365</v>
      </c>
    </row>
    <row r="46" spans="1:6" x14ac:dyDescent="0.25">
      <c r="A46" s="24" t="s">
        <v>26</v>
      </c>
      <c r="B46" s="9" t="s">
        <v>74</v>
      </c>
      <c r="C46" s="22" t="s">
        <v>7</v>
      </c>
      <c r="D46" s="9">
        <v>87</v>
      </c>
      <c r="E46" s="21">
        <v>33.800000000000004</v>
      </c>
      <c r="F46" s="26">
        <f>+E46*D46</f>
        <v>2940.6000000000004</v>
      </c>
    </row>
    <row r="47" spans="1:6" x14ac:dyDescent="0.25">
      <c r="A47" s="24" t="s">
        <v>27</v>
      </c>
      <c r="B47" s="9" t="s">
        <v>75</v>
      </c>
      <c r="C47" s="22" t="s">
        <v>97</v>
      </c>
      <c r="D47" s="9">
        <v>1</v>
      </c>
      <c r="E47" s="21">
        <v>728</v>
      </c>
      <c r="F47" s="26">
        <f>+E47*D47</f>
        <v>728</v>
      </c>
    </row>
    <row r="48" spans="1:6" x14ac:dyDescent="0.25">
      <c r="A48" s="27"/>
      <c r="B48" s="17" t="str">
        <f>+"SOUS.TOTAL " &amp; B43</f>
        <v>SOUS.TOTAL DISTRIBUTION VERS ÉMETTEURS</v>
      </c>
      <c r="C48" s="16"/>
      <c r="D48" s="15"/>
      <c r="E48" s="21">
        <v>0</v>
      </c>
      <c r="F48" s="28">
        <f>SUM(F44:F47)</f>
        <v>6008.6</v>
      </c>
    </row>
    <row r="49" spans="1:6" x14ac:dyDescent="0.25">
      <c r="A49" s="24">
        <v>8</v>
      </c>
      <c r="B49" s="18" t="str">
        <f>+UPPER("Électricité")</f>
        <v>ÉLECTRICITÉ</v>
      </c>
      <c r="C49" s="11"/>
      <c r="D49" s="9"/>
      <c r="E49" s="21">
        <v>0</v>
      </c>
      <c r="F49" s="26"/>
    </row>
    <row r="50" spans="1:6" x14ac:dyDescent="0.25">
      <c r="A50" s="24" t="s">
        <v>24</v>
      </c>
      <c r="B50" s="9" t="s">
        <v>76</v>
      </c>
      <c r="C50" s="22" t="s">
        <v>8</v>
      </c>
      <c r="D50" s="9">
        <v>1</v>
      </c>
      <c r="E50" s="21">
        <v>1560</v>
      </c>
      <c r="F50" s="26">
        <f>+E50*D50</f>
        <v>1560</v>
      </c>
    </row>
    <row r="51" spans="1:6" x14ac:dyDescent="0.25">
      <c r="A51" s="24" t="s">
        <v>25</v>
      </c>
      <c r="B51" s="9" t="s">
        <v>77</v>
      </c>
      <c r="C51" s="11" t="s">
        <v>8</v>
      </c>
      <c r="D51" s="9">
        <v>1</v>
      </c>
      <c r="E51" s="21">
        <v>1300</v>
      </c>
      <c r="F51" s="26">
        <f>+E51*D51</f>
        <v>1300</v>
      </c>
    </row>
    <row r="52" spans="1:6" x14ac:dyDescent="0.25">
      <c r="A52" s="27"/>
      <c r="B52" s="17" t="str">
        <f>+"SOUS.TOTAL " &amp; B49</f>
        <v>SOUS.TOTAL ÉLECTRICITÉ</v>
      </c>
      <c r="C52" s="16"/>
      <c r="D52" s="15"/>
      <c r="E52" s="21">
        <v>0</v>
      </c>
      <c r="F52" s="28">
        <f>SUM(F50:F51)</f>
        <v>2860</v>
      </c>
    </row>
    <row r="53" spans="1:6" x14ac:dyDescent="0.25">
      <c r="A53" s="24">
        <v>9</v>
      </c>
      <c r="B53" s="18" t="str">
        <f>+UPPER("Documents et contrôles")</f>
        <v>DOCUMENTS ET CONTRÔLES</v>
      </c>
      <c r="C53" s="11"/>
      <c r="D53" s="9"/>
      <c r="E53" s="21">
        <v>0</v>
      </c>
      <c r="F53" s="26"/>
    </row>
    <row r="54" spans="1:6" x14ac:dyDescent="0.25">
      <c r="A54" s="24" t="s">
        <v>24</v>
      </c>
      <c r="B54" s="9" t="s">
        <v>78</v>
      </c>
      <c r="C54" s="22" t="s">
        <v>8</v>
      </c>
      <c r="D54" s="9">
        <v>1</v>
      </c>
      <c r="E54" s="21">
        <v>2080</v>
      </c>
      <c r="F54" s="26">
        <f>+E54*D54</f>
        <v>2080</v>
      </c>
    </row>
    <row r="55" spans="1:6" x14ac:dyDescent="0.25">
      <c r="A55" s="24" t="s">
        <v>25</v>
      </c>
      <c r="B55" s="9" t="s">
        <v>79</v>
      </c>
      <c r="C55" s="22" t="s">
        <v>8</v>
      </c>
      <c r="D55" s="9">
        <v>1</v>
      </c>
      <c r="E55" s="21">
        <v>1170</v>
      </c>
      <c r="F55" s="26">
        <f>+E55*D55</f>
        <v>1170</v>
      </c>
    </row>
    <row r="56" spans="1:6" x14ac:dyDescent="0.25">
      <c r="A56" s="24" t="s">
        <v>26</v>
      </c>
      <c r="B56" s="9" t="s">
        <v>80</v>
      </c>
      <c r="C56" s="22" t="s">
        <v>8</v>
      </c>
      <c r="D56" s="9">
        <v>1</v>
      </c>
      <c r="E56" s="21">
        <v>1690</v>
      </c>
      <c r="F56" s="26">
        <f>+E56*D56</f>
        <v>1690</v>
      </c>
    </row>
    <row r="57" spans="1:6" x14ac:dyDescent="0.25">
      <c r="A57" s="24" t="s">
        <v>27</v>
      </c>
      <c r="B57" s="9" t="s">
        <v>81</v>
      </c>
      <c r="C57" s="22" t="s">
        <v>8</v>
      </c>
      <c r="D57" s="9">
        <v>1</v>
      </c>
      <c r="E57" s="21">
        <v>3250</v>
      </c>
      <c r="F57" s="26">
        <f>+E57*D57</f>
        <v>3250</v>
      </c>
    </row>
    <row r="58" spans="1:6" x14ac:dyDescent="0.25">
      <c r="A58" s="24" t="s">
        <v>28</v>
      </c>
      <c r="B58" s="9" t="s">
        <v>82</v>
      </c>
      <c r="C58" s="22" t="s">
        <v>8</v>
      </c>
      <c r="D58" s="9">
        <v>1</v>
      </c>
      <c r="E58" s="21">
        <v>1560</v>
      </c>
      <c r="F58" s="26">
        <f>+E58*D58</f>
        <v>1560</v>
      </c>
    </row>
    <row r="59" spans="1:6" ht="15.75" thickBot="1" x14ac:dyDescent="0.3">
      <c r="A59" s="30"/>
      <c r="B59" s="31" t="str">
        <f>+"SOUS.TOTAL " &amp; B53</f>
        <v>SOUS.TOTAL DOCUMENTS ET CONTRÔLES</v>
      </c>
      <c r="C59" s="32"/>
      <c r="D59" s="33"/>
      <c r="E59" s="34"/>
      <c r="F59" s="39">
        <f>SUM(F54:F58)</f>
        <v>9750</v>
      </c>
    </row>
    <row r="60" spans="1:6" ht="15.75" thickBot="1" x14ac:dyDescent="0.3">
      <c r="A60" s="30"/>
      <c r="B60" s="37"/>
      <c r="C60" s="32"/>
      <c r="D60" s="33"/>
      <c r="E60" s="38" t="s">
        <v>99</v>
      </c>
      <c r="F60" s="40">
        <f>SUM(F6:F59)/2</f>
        <v>69240.600000000006</v>
      </c>
    </row>
    <row r="61" spans="1:6" ht="15.75" thickBot="1" x14ac:dyDescent="0.3">
      <c r="A61" s="30"/>
      <c r="B61" s="37"/>
      <c r="C61" s="32"/>
      <c r="D61" s="33"/>
      <c r="E61" s="38" t="s">
        <v>100</v>
      </c>
      <c r="F61" s="40">
        <f>+F60*0.2</f>
        <v>13848.120000000003</v>
      </c>
    </row>
    <row r="62" spans="1:6" ht="15.75" thickBot="1" x14ac:dyDescent="0.3">
      <c r="A62" s="30"/>
      <c r="B62" s="37"/>
      <c r="C62" s="32"/>
      <c r="D62" s="33"/>
      <c r="E62" s="38" t="s">
        <v>101</v>
      </c>
      <c r="F62" s="40">
        <f>SUM(F60:F61)</f>
        <v>83088.72</v>
      </c>
    </row>
    <row r="63" spans="1:6" x14ac:dyDescent="0.25">
      <c r="F63" s="36"/>
    </row>
  </sheetData>
  <mergeCells count="3">
    <mergeCell ref="A1:F1"/>
    <mergeCell ref="A2:F2"/>
    <mergeCell ref="A3:F3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F14" sqref="F14"/>
    </sheetView>
  </sheetViews>
  <sheetFormatPr baseColWidth="10" defaultRowHeight="15" x14ac:dyDescent="0.25"/>
  <cols>
    <col min="2" max="2" width="89.28515625" bestFit="1" customWidth="1"/>
    <col min="5" max="5" width="14.5703125" customWidth="1"/>
    <col min="6" max="6" width="24.7109375" customWidth="1"/>
  </cols>
  <sheetData>
    <row r="1" spans="1:8" s="1" customFormat="1" ht="101.45" customHeight="1" x14ac:dyDescent="0.3">
      <c r="A1" s="42" t="s">
        <v>31</v>
      </c>
      <c r="B1" s="42"/>
      <c r="C1" s="42"/>
      <c r="D1" s="42"/>
      <c r="E1" s="42"/>
      <c r="F1" s="42"/>
      <c r="H1" s="41"/>
    </row>
    <row r="2" spans="1:8" s="1" customFormat="1" ht="21.6" customHeight="1" thickBot="1" x14ac:dyDescent="0.35">
      <c r="A2" s="43" t="s">
        <v>102</v>
      </c>
      <c r="B2" s="43"/>
      <c r="C2" s="43"/>
      <c r="D2" s="43"/>
      <c r="E2" s="43"/>
      <c r="F2" s="43"/>
    </row>
    <row r="3" spans="1:8" s="1" customFormat="1" ht="49.15" customHeight="1" thickBot="1" x14ac:dyDescent="0.35">
      <c r="A3" s="44" t="s">
        <v>0</v>
      </c>
      <c r="B3" s="45"/>
      <c r="C3" s="45"/>
      <c r="D3" s="45"/>
      <c r="E3" s="45"/>
      <c r="F3" s="46"/>
    </row>
    <row r="4" spans="1:8" x14ac:dyDescent="0.25">
      <c r="A4" s="4" t="s">
        <v>29</v>
      </c>
      <c r="B4" s="5" t="s">
        <v>1</v>
      </c>
      <c r="C4" s="6" t="s">
        <v>2</v>
      </c>
      <c r="D4" s="7" t="s">
        <v>3</v>
      </c>
      <c r="E4" s="7" t="s">
        <v>4</v>
      </c>
      <c r="F4" s="8" t="s">
        <v>5</v>
      </c>
    </row>
    <row r="5" spans="1:8" x14ac:dyDescent="0.25">
      <c r="A5" s="24">
        <v>1</v>
      </c>
      <c r="B5" s="18" t="s">
        <v>83</v>
      </c>
      <c r="C5" s="9"/>
      <c r="D5" s="9"/>
      <c r="E5" s="9"/>
      <c r="F5" s="25"/>
    </row>
    <row r="6" spans="1:8" x14ac:dyDescent="0.25">
      <c r="A6" s="24" t="s">
        <v>9</v>
      </c>
      <c r="B6" s="9" t="s">
        <v>87</v>
      </c>
      <c r="C6" s="22" t="s">
        <v>2</v>
      </c>
      <c r="D6" s="9">
        <v>1</v>
      </c>
      <c r="E6" s="19">
        <v>520</v>
      </c>
      <c r="F6" s="26">
        <f t="shared" ref="F6:F12" si="0">+E6*D6</f>
        <v>520</v>
      </c>
    </row>
    <row r="7" spans="1:8" x14ac:dyDescent="0.25">
      <c r="A7" s="24" t="s">
        <v>10</v>
      </c>
      <c r="B7" s="9" t="s">
        <v>88</v>
      </c>
      <c r="C7" s="23" t="s">
        <v>2</v>
      </c>
      <c r="D7" s="12">
        <v>1</v>
      </c>
      <c r="E7" s="20">
        <v>400</v>
      </c>
      <c r="F7" s="26">
        <f t="shared" si="0"/>
        <v>400</v>
      </c>
    </row>
    <row r="8" spans="1:8" x14ac:dyDescent="0.25">
      <c r="A8" s="24" t="s">
        <v>11</v>
      </c>
      <c r="B8" s="9" t="s">
        <v>89</v>
      </c>
      <c r="C8" s="23" t="s">
        <v>2</v>
      </c>
      <c r="D8" s="12">
        <v>1</v>
      </c>
      <c r="E8" s="20">
        <v>380</v>
      </c>
      <c r="F8" s="26">
        <f t="shared" si="0"/>
        <v>380</v>
      </c>
    </row>
    <row r="9" spans="1:8" x14ac:dyDescent="0.25">
      <c r="A9" s="24" t="s">
        <v>12</v>
      </c>
      <c r="B9" s="9" t="s">
        <v>90</v>
      </c>
      <c r="C9" s="23" t="s">
        <v>2</v>
      </c>
      <c r="D9" s="12">
        <v>2</v>
      </c>
      <c r="E9" s="20">
        <v>400</v>
      </c>
      <c r="F9" s="26">
        <f t="shared" si="0"/>
        <v>800</v>
      </c>
    </row>
    <row r="10" spans="1:8" x14ac:dyDescent="0.25">
      <c r="A10" s="24" t="s">
        <v>13</v>
      </c>
      <c r="B10" s="9" t="s">
        <v>91</v>
      </c>
      <c r="C10" s="23" t="s">
        <v>2</v>
      </c>
      <c r="D10" s="12">
        <v>1</v>
      </c>
      <c r="E10" s="20">
        <v>380</v>
      </c>
      <c r="F10" s="26">
        <f t="shared" si="0"/>
        <v>380</v>
      </c>
    </row>
    <row r="11" spans="1:8" x14ac:dyDescent="0.25">
      <c r="A11" s="24" t="s">
        <v>14</v>
      </c>
      <c r="B11" s="9" t="s">
        <v>92</v>
      </c>
      <c r="C11" s="23" t="s">
        <v>2</v>
      </c>
      <c r="D11" s="12">
        <v>3</v>
      </c>
      <c r="E11" s="20">
        <v>440</v>
      </c>
      <c r="F11" s="26">
        <f t="shared" si="0"/>
        <v>1320</v>
      </c>
    </row>
    <row r="12" spans="1:8" x14ac:dyDescent="0.25">
      <c r="A12" s="24" t="s">
        <v>15</v>
      </c>
      <c r="B12" s="9" t="s">
        <v>93</v>
      </c>
      <c r="C12" s="3" t="s">
        <v>2</v>
      </c>
      <c r="D12" s="12">
        <v>1</v>
      </c>
      <c r="E12" s="20">
        <v>400</v>
      </c>
      <c r="F12" s="26">
        <f t="shared" si="0"/>
        <v>400</v>
      </c>
    </row>
    <row r="13" spans="1:8" ht="15.75" thickBot="1" x14ac:dyDescent="0.3">
      <c r="A13" s="30"/>
      <c r="B13" s="31" t="str">
        <f>+"SOUS.TOTAL " &amp;B5</f>
        <v>SOUS.TOTAL RADIATEURS</v>
      </c>
      <c r="C13" s="32"/>
      <c r="D13" s="33"/>
      <c r="E13" s="34"/>
      <c r="F13" s="35">
        <f>SUM(F6:F12)</f>
        <v>4200</v>
      </c>
    </row>
    <row r="14" spans="1:8" ht="15.75" thickBot="1" x14ac:dyDescent="0.3">
      <c r="A14" s="30"/>
      <c r="B14" s="37"/>
      <c r="C14" s="32"/>
      <c r="D14" s="33"/>
      <c r="E14" s="38" t="s">
        <v>99</v>
      </c>
      <c r="F14" s="40">
        <f>SUM(F6:F13)/2</f>
        <v>4200</v>
      </c>
    </row>
    <row r="15" spans="1:8" ht="15.75" thickBot="1" x14ac:dyDescent="0.3">
      <c r="A15" s="30"/>
      <c r="B15" s="37"/>
      <c r="C15" s="32"/>
      <c r="D15" s="33"/>
      <c r="E15" s="38" t="s">
        <v>100</v>
      </c>
      <c r="F15" s="40">
        <f>+F14*0.2</f>
        <v>840</v>
      </c>
    </row>
    <row r="16" spans="1:8" ht="15.75" thickBot="1" x14ac:dyDescent="0.3">
      <c r="A16" s="30"/>
      <c r="B16" s="37"/>
      <c r="C16" s="32"/>
      <c r="D16" s="33"/>
      <c r="E16" s="38" t="s">
        <v>101</v>
      </c>
      <c r="F16" s="40">
        <f>SUM(F14:F15)</f>
        <v>5040</v>
      </c>
    </row>
  </sheetData>
  <mergeCells count="3">
    <mergeCell ref="A1:F1"/>
    <mergeCell ref="A2:F2"/>
    <mergeCell ref="A3:F3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tabSelected="1" workbookViewId="0">
      <selection activeCell="I7" sqref="I7"/>
    </sheetView>
  </sheetViews>
  <sheetFormatPr baseColWidth="10" defaultRowHeight="15" x14ac:dyDescent="0.25"/>
  <cols>
    <col min="2" max="2" width="97.140625" bestFit="1" customWidth="1"/>
  </cols>
  <sheetData>
    <row r="1" spans="1:8" s="1" customFormat="1" ht="101.45" customHeight="1" x14ac:dyDescent="0.3">
      <c r="A1" s="42" t="s">
        <v>31</v>
      </c>
      <c r="B1" s="42"/>
      <c r="C1" s="42"/>
      <c r="D1" s="42"/>
      <c r="E1" s="42"/>
      <c r="F1" s="42"/>
      <c r="H1" s="41"/>
    </row>
    <row r="2" spans="1:8" s="1" customFormat="1" ht="21.6" customHeight="1" thickBot="1" x14ac:dyDescent="0.35">
      <c r="A2" s="43" t="s">
        <v>102</v>
      </c>
      <c r="B2" s="43"/>
      <c r="C2" s="43"/>
      <c r="D2" s="43"/>
      <c r="E2" s="43"/>
      <c r="F2" s="43"/>
    </row>
    <row r="3" spans="1:8" s="1" customFormat="1" ht="49.15" customHeight="1" thickBot="1" x14ac:dyDescent="0.35">
      <c r="A3" s="44" t="s">
        <v>0</v>
      </c>
      <c r="B3" s="45"/>
      <c r="C3" s="45"/>
      <c r="D3" s="45"/>
      <c r="E3" s="45"/>
      <c r="F3" s="46"/>
    </row>
    <row r="4" spans="1:8" x14ac:dyDescent="0.25">
      <c r="A4" s="4" t="s">
        <v>29</v>
      </c>
      <c r="B4" s="5" t="s">
        <v>1</v>
      </c>
      <c r="C4" s="6" t="s">
        <v>2</v>
      </c>
      <c r="D4" s="7" t="s">
        <v>3</v>
      </c>
      <c r="E4" s="7" t="s">
        <v>4</v>
      </c>
      <c r="F4" s="8" t="s">
        <v>5</v>
      </c>
    </row>
    <row r="5" spans="1:8" x14ac:dyDescent="0.25">
      <c r="A5" s="24">
        <v>1</v>
      </c>
      <c r="B5" s="18" t="s">
        <v>94</v>
      </c>
      <c r="C5" s="10"/>
      <c r="D5" s="9"/>
      <c r="E5" s="9"/>
      <c r="F5" s="25"/>
    </row>
    <row r="6" spans="1:8" x14ac:dyDescent="0.25">
      <c r="A6" s="24" t="s">
        <v>9</v>
      </c>
      <c r="B6" s="9" t="s">
        <v>84</v>
      </c>
      <c r="C6" s="11" t="s">
        <v>2</v>
      </c>
      <c r="D6" s="9">
        <v>1</v>
      </c>
      <c r="E6" s="19">
        <v>520</v>
      </c>
      <c r="F6" s="26">
        <f>+E6*D6</f>
        <v>520</v>
      </c>
    </row>
    <row r="7" spans="1:8" x14ac:dyDescent="0.25">
      <c r="A7" s="24" t="s">
        <v>10</v>
      </c>
      <c r="B7" s="9" t="s">
        <v>96</v>
      </c>
      <c r="C7" s="13" t="s">
        <v>2</v>
      </c>
      <c r="D7" s="12">
        <v>2</v>
      </c>
      <c r="E7" s="19">
        <v>572</v>
      </c>
      <c r="F7" s="26">
        <f>+E7*D7</f>
        <v>1144</v>
      </c>
    </row>
    <row r="8" spans="1:8" x14ac:dyDescent="0.25">
      <c r="A8" s="24" t="s">
        <v>11</v>
      </c>
      <c r="B8" s="9" t="s">
        <v>85</v>
      </c>
      <c r="C8" s="11" t="s">
        <v>2</v>
      </c>
      <c r="D8" s="9">
        <v>1</v>
      </c>
      <c r="E8" s="19">
        <v>1040</v>
      </c>
      <c r="F8" s="26">
        <f>+E8*D8</f>
        <v>1040</v>
      </c>
    </row>
    <row r="9" spans="1:8" x14ac:dyDescent="0.25">
      <c r="A9" s="24" t="s">
        <v>12</v>
      </c>
      <c r="B9" s="9" t="s">
        <v>86</v>
      </c>
      <c r="C9" s="11" t="s">
        <v>2</v>
      </c>
      <c r="D9" s="9">
        <v>1</v>
      </c>
      <c r="E9" s="19">
        <v>975</v>
      </c>
      <c r="F9" s="26">
        <f>+E9*D9</f>
        <v>975</v>
      </c>
    </row>
    <row r="10" spans="1:8" ht="15.75" thickBot="1" x14ac:dyDescent="0.3">
      <c r="A10" s="30"/>
      <c r="B10" s="31" t="str">
        <f>+"SOUS.TOTAL " &amp; B5</f>
        <v>SOUS.TOTAL RADIATEURS RDC + R+1</v>
      </c>
      <c r="C10" s="32"/>
      <c r="D10" s="33"/>
      <c r="E10" s="34"/>
      <c r="F10" s="35">
        <f>SUM(F6:F9)</f>
        <v>3679</v>
      </c>
    </row>
    <row r="11" spans="1:8" ht="15.75" thickBot="1" x14ac:dyDescent="0.3">
      <c r="A11" s="30"/>
      <c r="B11" s="37"/>
      <c r="C11" s="32"/>
      <c r="D11" s="33"/>
      <c r="E11" s="38" t="s">
        <v>99</v>
      </c>
      <c r="F11" s="40">
        <f>SUM(F6:F10)/2</f>
        <v>3679</v>
      </c>
    </row>
    <row r="12" spans="1:8" ht="15.75" thickBot="1" x14ac:dyDescent="0.3">
      <c r="A12" s="30"/>
      <c r="B12" s="37"/>
      <c r="C12" s="32"/>
      <c r="D12" s="33"/>
      <c r="E12" s="38" t="s">
        <v>100</v>
      </c>
      <c r="F12" s="40">
        <f>+F11*0.2</f>
        <v>735.80000000000007</v>
      </c>
    </row>
    <row r="13" spans="1:8" ht="15.75" thickBot="1" x14ac:dyDescent="0.3">
      <c r="A13" s="30"/>
      <c r="B13" s="37"/>
      <c r="C13" s="32"/>
      <c r="D13" s="33"/>
      <c r="E13" s="38" t="s">
        <v>101</v>
      </c>
      <c r="F13" s="40">
        <f>SUM(F11:F12)</f>
        <v>4414.8</v>
      </c>
    </row>
  </sheetData>
  <mergeCells count="3">
    <mergeCell ref="A1:F1"/>
    <mergeCell ref="A2:F2"/>
    <mergeCell ref="A3:F3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LOT 8 - INSTALLATION GENERALE</vt:lpstr>
      <vt:lpstr>LOT 8 - RESTAURANT</vt:lpstr>
      <vt:lpstr>LOT 8 - LOGEMENT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Haingt</dc:creator>
  <cp:lastModifiedBy>Bertille Goudier</cp:lastModifiedBy>
  <dcterms:created xsi:type="dcterms:W3CDTF">2026-03-05T12:16:02Z</dcterms:created>
  <dcterms:modified xsi:type="dcterms:W3CDTF">2026-03-06T13:20:19Z</dcterms:modified>
</cp:coreProperties>
</file>