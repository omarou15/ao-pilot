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rti\Documents\AO\EN COURS\Commune de Véreaux\Dossier de rep - Véreaux\offre\"/>
    </mc:Choice>
  </mc:AlternateContent>
  <xr:revisionPtr revIDLastSave="0" documentId="13_ncr:1_{115FD575-C496-4D9B-9D11-D6CF7E193690}" xr6:coauthVersionLast="47" xr6:coauthVersionMax="47" xr10:uidLastSave="{00000000-0000-0000-0000-000000000000}"/>
  <bookViews>
    <workbookView xWindow="1485" yWindow="1110" windowWidth="21600" windowHeight="11295" activeTab="2" xr2:uid="{00000000-000D-0000-FFFF-FFFF00000000}"/>
  </bookViews>
  <sheets>
    <sheet name="LOT 6- INSTALLATION GENERALE" sheetId="1" r:id="rId1"/>
    <sheet name="LOT 6- LOGEMENT " sheetId="2" r:id="rId2"/>
    <sheet name="LOT 6- RESTAURANT 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6" i="3"/>
  <c r="F21" i="3"/>
  <c r="F9" i="3"/>
  <c r="F11" i="3"/>
  <c r="F13" i="2"/>
  <c r="F22" i="2"/>
  <c r="F21" i="2"/>
  <c r="F32" i="2"/>
  <c r="F35" i="2"/>
  <c r="F56" i="3"/>
  <c r="F57" i="3" s="1"/>
  <c r="F42" i="3"/>
  <c r="F43" i="3"/>
  <c r="F44" i="3"/>
  <c r="F45" i="3"/>
  <c r="F46" i="3"/>
  <c r="F47" i="3"/>
  <c r="F49" i="3"/>
  <c r="F50" i="3"/>
  <c r="F51" i="3"/>
  <c r="F52" i="3"/>
  <c r="F53" i="3"/>
  <c r="F41" i="3"/>
  <c r="F32" i="3"/>
  <c r="F35" i="3"/>
  <c r="F36" i="3"/>
  <c r="F31" i="3"/>
  <c r="F28" i="3"/>
  <c r="F22" i="3"/>
  <c r="F18" i="3"/>
  <c r="F10" i="3"/>
  <c r="F15" i="3"/>
  <c r="F39" i="2"/>
  <c r="F40" i="2" s="1"/>
  <c r="F31" i="2"/>
  <c r="F36" i="2"/>
  <c r="F23" i="2"/>
  <c r="F20" i="2"/>
  <c r="F7" i="2"/>
  <c r="F8" i="2"/>
  <c r="F9" i="2"/>
  <c r="F10" i="2"/>
  <c r="F11" i="2"/>
  <c r="F12" i="2"/>
  <c r="F17" i="2"/>
  <c r="F28" i="1"/>
  <c r="F29" i="1"/>
  <c r="F30" i="1"/>
  <c r="F31" i="1"/>
  <c r="F27" i="1"/>
  <c r="F23" i="1"/>
  <c r="F24" i="1"/>
  <c r="F22" i="1"/>
  <c r="F17" i="1"/>
  <c r="F18" i="1"/>
  <c r="F19" i="1"/>
  <c r="F16" i="1"/>
  <c r="F10" i="1"/>
  <c r="F11" i="1" s="1"/>
  <c r="F33" i="3" l="1"/>
  <c r="F34" i="3"/>
  <c r="F14" i="3"/>
  <c r="F27" i="3"/>
  <c r="F16" i="2"/>
  <c r="F25" i="1"/>
  <c r="F32" i="1"/>
  <c r="F20" i="1"/>
  <c r="F19" i="3"/>
  <c r="F20" i="3"/>
  <c r="F30" i="2"/>
  <c r="F27" i="2"/>
  <c r="F24" i="2"/>
  <c r="F54" i="3"/>
  <c r="B57" i="3"/>
  <c r="B54" i="3"/>
  <c r="B38" i="3"/>
  <c r="B23" i="3"/>
  <c r="B29" i="3"/>
  <c r="F25" i="3"/>
  <c r="F29" i="3" s="1"/>
  <c r="B16" i="3"/>
  <c r="F6" i="3"/>
  <c r="B40" i="2"/>
  <c r="B37" i="2"/>
  <c r="F26" i="2"/>
  <c r="B24" i="2"/>
  <c r="B18" i="2"/>
  <c r="F6" i="2"/>
  <c r="B25" i="1"/>
  <c r="B11" i="1"/>
  <c r="F7" i="1"/>
  <c r="F13" i="1"/>
  <c r="F14" i="1" s="1"/>
  <c r="F6" i="1"/>
  <c r="B32" i="1"/>
  <c r="B20" i="1"/>
  <c r="B8" i="1"/>
  <c r="B14" i="1"/>
  <c r="F38" i="3" l="1"/>
  <c r="F23" i="3"/>
  <c r="F14" i="2"/>
  <c r="F15" i="2"/>
  <c r="F8" i="1"/>
  <c r="F33" i="1" s="1"/>
  <c r="F34" i="1" s="1"/>
  <c r="F35" i="1" s="1"/>
  <c r="F8" i="3"/>
  <c r="F7" i="3"/>
  <c r="F28" i="2"/>
  <c r="F34" i="2"/>
  <c r="F29" i="2"/>
  <c r="F33" i="2"/>
  <c r="F18" i="2" l="1"/>
  <c r="F12" i="3"/>
  <c r="F13" i="3"/>
  <c r="F37" i="2"/>
  <c r="F41" i="2" s="1"/>
  <c r="F42" i="2" s="1"/>
  <c r="F43" i="2" s="1"/>
  <c r="F16" i="3" l="1"/>
  <c r="F58" i="3" s="1"/>
  <c r="F59" i="3" s="1"/>
  <c r="F60" i="3" s="1"/>
</calcChain>
</file>

<file path=xl/sharedStrings.xml><?xml version="1.0" encoding="utf-8"?>
<sst xmlns="http://schemas.openxmlformats.org/spreadsheetml/2006/main" count="305" uniqueCount="155">
  <si>
    <t>Lot 06: PLOMBERIE / SANITAIRE</t>
  </si>
  <si>
    <t>CADRE DE DECOMPOSITION DE PRIX GLOBAL ET FORFAITAIRE</t>
  </si>
  <si>
    <t>DESIGNATION</t>
  </si>
  <si>
    <t>U</t>
  </si>
  <si>
    <t>Qté</t>
  </si>
  <si>
    <t>PU</t>
  </si>
  <si>
    <t>Total HT</t>
  </si>
  <si>
    <t xml:space="preserve">Fourniture et pose d'une vanne de barrage avec réducteur de pression </t>
  </si>
  <si>
    <t>EVACUATION EU / EV</t>
  </si>
  <si>
    <t>Ft</t>
  </si>
  <si>
    <t>ml</t>
  </si>
  <si>
    <t xml:space="preserve">Dépose de l'alimentation EF/EC existante, y compris évacuation </t>
  </si>
  <si>
    <t>Dépose de l'ensemble des sanitaires, y compris évacuation</t>
  </si>
  <si>
    <t xml:space="preserve">INSTALLATION </t>
  </si>
  <si>
    <t xml:space="preserve">Fourniture et pose de robinet de puisage pour le chantier </t>
  </si>
  <si>
    <t>DÉPOSE</t>
  </si>
  <si>
    <t>ALIMENTATION EAU FROIDE GENERALE</t>
  </si>
  <si>
    <t>RESEAUX EC/EF</t>
  </si>
  <si>
    <t xml:space="preserve">Fourniture et pose d'ensemble tube PER pré gainé </t>
  </si>
  <si>
    <t xml:space="preserve">Fourniture et pose d'ensemble de tube cuivre </t>
  </si>
  <si>
    <t xml:space="preserve">Divers et accessoires </t>
  </si>
  <si>
    <t>Fourniture et pose de chauffe eau ECS pour logement</t>
  </si>
  <si>
    <t>SO</t>
  </si>
  <si>
    <r>
      <t xml:space="preserve">Raccordement des tubes PVC </t>
    </r>
    <r>
      <rPr>
        <sz val="11"/>
        <color theme="1"/>
        <rFont val="Calibri"/>
        <family val="2"/>
      </rPr>
      <t xml:space="preserve">Φ100 et </t>
    </r>
    <r>
      <rPr>
        <sz val="11"/>
        <color theme="1"/>
        <rFont val="Calibri"/>
        <family val="2"/>
        <scheme val="minor"/>
      </rPr>
      <t>Φ40 sur attentes en dalle (lot gros œuvre)</t>
    </r>
  </si>
  <si>
    <t xml:space="preserve">Réalisation ventilation de chute sur les WC </t>
  </si>
  <si>
    <t>Fourniture et pose de tube PVC PR Φ100</t>
  </si>
  <si>
    <t>Fourniture et pose de tube PVC PR Φ40</t>
  </si>
  <si>
    <t xml:space="preserve">Ensemble des raccords PVC </t>
  </si>
  <si>
    <t xml:space="preserve">Fourniture et pose de nourrice avec vannes de barrage individuelles </t>
  </si>
  <si>
    <t>Ens</t>
  </si>
  <si>
    <t xml:space="preserve">Calorifuge des réseaux ECS </t>
  </si>
  <si>
    <t>PRODUCTION ECS</t>
  </si>
  <si>
    <t xml:space="preserve">Fourniture et pose de chauffe eau ECS 200 L pour restaurant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</si>
  <si>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</si>
  <si>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</si>
  <si>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</si>
  <si>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</si>
  <si>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</si>
  <si>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</si>
  <si>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</si>
  <si>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</si>
  <si>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</si>
  <si>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</si>
  <si>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</si>
  <si>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</si>
  <si>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</si>
  <si>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2.1</t>
  </si>
  <si>
    <t>3.1</t>
  </si>
  <si>
    <t>4.1</t>
  </si>
  <si>
    <t>4.2</t>
  </si>
  <si>
    <t>4.3</t>
  </si>
  <si>
    <t>4.4</t>
  </si>
  <si>
    <t>5.1</t>
  </si>
  <si>
    <t>5.2</t>
  </si>
  <si>
    <t>6.1</t>
  </si>
  <si>
    <t>6.2</t>
  </si>
  <si>
    <t>6.3</t>
  </si>
  <si>
    <t>6.4</t>
  </si>
  <si>
    <t>6.5</t>
  </si>
  <si>
    <t>N°</t>
  </si>
  <si>
    <t>5.3</t>
  </si>
  <si>
    <t xml:space="preserve">Divers, accessoires </t>
  </si>
  <si>
    <t>REHABILATION D'UN BATIMENT COMMUNE DE VÉREAUX : RESTAURANT ET LOGEMENT</t>
  </si>
  <si>
    <t xml:space="preserve">PLONGE </t>
  </si>
  <si>
    <t>CUISINE</t>
  </si>
  <si>
    <t>2.2</t>
  </si>
  <si>
    <t>COULOIR 2</t>
  </si>
  <si>
    <t>3.2</t>
  </si>
  <si>
    <t>3.3</t>
  </si>
  <si>
    <t>BAR</t>
  </si>
  <si>
    <t>SANITAIRES</t>
  </si>
  <si>
    <t xml:space="preserve">Fourniture et pose d'un distributeur de papier en rouleau grande capacité </t>
  </si>
  <si>
    <t>WC STANDARD</t>
  </si>
  <si>
    <t xml:space="preserve">Fourniture et pose de robinet de puisage + applique + vanne à purge </t>
  </si>
  <si>
    <t xml:space="preserve">SALLE DE BAIN </t>
  </si>
  <si>
    <t>Fourniture et pose de receveur de douche 120 x 90</t>
  </si>
  <si>
    <r>
      <t xml:space="preserve">Fourniture et pose de bonde de douche </t>
    </r>
    <r>
      <rPr>
        <sz val="11"/>
        <color theme="1"/>
        <rFont val="Calibri"/>
        <family val="2"/>
      </rPr>
      <t>Φ90</t>
    </r>
  </si>
  <si>
    <t>Fourniture et pose de platine de douche PER à sertir 13 x 16</t>
  </si>
  <si>
    <t xml:space="preserve">Fourniture et pose de paroi de douche + porte pivotante </t>
  </si>
  <si>
    <t>Fourniture et pose de meuble de salle de bain simple vasque avec tiroirs vasque et miroir + éclairage</t>
  </si>
  <si>
    <t xml:space="preserve">Fourniture et pose de bonde et siphon </t>
  </si>
  <si>
    <t xml:space="preserve">Fourniture et pose de canalisation cuivre EF </t>
  </si>
  <si>
    <t>Fourniture et pose de canalisation cuivre ECS</t>
  </si>
  <si>
    <t>Fourniture et pose de canalisation PVC</t>
  </si>
  <si>
    <t>Fourniture et pose de canalisation multicouche ECS</t>
  </si>
  <si>
    <t xml:space="preserve">Fourniture et pose de WC standard </t>
  </si>
  <si>
    <t>2.3</t>
  </si>
  <si>
    <t>2.4</t>
  </si>
  <si>
    <t xml:space="preserve">Fourniture et pose évier 1 bac + 1 égouttoir </t>
  </si>
  <si>
    <t>Fourniture et pose de canalisation cuivre ECS , évier</t>
  </si>
  <si>
    <t>Fourniture et pose de canalisation multicouche ECS , évier</t>
  </si>
  <si>
    <t>Fourniture et pose de canalisation PVC , évier</t>
  </si>
  <si>
    <t>Divers et accessoires  , évier</t>
  </si>
  <si>
    <t>Fourniture et pose de canalisation cuivre ECS , lave vaisselle</t>
  </si>
  <si>
    <t>Fourniture et pose de canalisation multicouche ECS , lave vaisselle</t>
  </si>
  <si>
    <t>Fourniture et pose de canalisation PVC , lave vaisselle</t>
  </si>
  <si>
    <t>3.4</t>
  </si>
  <si>
    <t>3.5</t>
  </si>
  <si>
    <t>3.6</t>
  </si>
  <si>
    <t>3.7</t>
  </si>
  <si>
    <t>3.8</t>
  </si>
  <si>
    <t>3.9</t>
  </si>
  <si>
    <t>3.10</t>
  </si>
  <si>
    <t>3.12</t>
  </si>
  <si>
    <t>TRAVAUX EXTÉRIEURS</t>
  </si>
  <si>
    <t>Fourniture et pose de canalisation cuivre EF , évier</t>
  </si>
  <si>
    <t>Fourniture et pose de canalisation cuivre EF ,plonge</t>
  </si>
  <si>
    <t>Fourniture et pose de canalisation cuivre ECS  ,plonge</t>
  </si>
  <si>
    <t>Fourniture et pose de canalisation multicouche ECS  ,plonge</t>
  </si>
  <si>
    <t>Fourniture et pose de canalisation PVC  ,plonge</t>
  </si>
  <si>
    <t>Divers et accessoires   ,plonge</t>
  </si>
  <si>
    <t>Fourniture et pose de canalisation cuivre EF , lave vaisselle</t>
  </si>
  <si>
    <t>Fourniture et pose de canalisation multicouche ECS  , lave vaisselle</t>
  </si>
  <si>
    <t>Divers et accessoires  , lave vaisselle</t>
  </si>
  <si>
    <t>Fourniture et pose de canalisation cuivre EF</t>
  </si>
  <si>
    <t xml:space="preserve">Fourniture et pose de canalisation cuivre ECS </t>
  </si>
  <si>
    <t xml:space="preserve">Fourniture et pose de canalisation multicouche ECS  </t>
  </si>
  <si>
    <t xml:space="preserve">Fourniture et pose de canalisation PVC </t>
  </si>
  <si>
    <t xml:space="preserve">Divers et accessoires  </t>
  </si>
  <si>
    <t>2.5</t>
  </si>
  <si>
    <t>2.6</t>
  </si>
  <si>
    <t>Fourniture et pose chauffe eau 200 L</t>
  </si>
  <si>
    <t xml:space="preserve">Fourniture et pose de canalisation PVC pour tireuse de bière </t>
  </si>
  <si>
    <t>Fourniture et pose de lavabo pour PMR</t>
  </si>
  <si>
    <t>Fourniture et pose d'un distributeur de savon liquide rechargeable</t>
  </si>
  <si>
    <t xml:space="preserve">Fourniture et pose d'un distributeur d'essuie main feuille à feuille </t>
  </si>
  <si>
    <t xml:space="preserve">Fourniture et pose d'un lavabo standard </t>
  </si>
  <si>
    <t>Équipement standard</t>
  </si>
  <si>
    <t>Équipement PMR</t>
  </si>
  <si>
    <t xml:space="preserve">Fourniture et pose de WC PMR </t>
  </si>
  <si>
    <t xml:space="preserve">Fourniture et pose de barre d'appui fixe </t>
  </si>
  <si>
    <t xml:space="preserve">Fourniture et pose de barre d'appui amovible </t>
  </si>
  <si>
    <t>Fourniture et pose de WC standard</t>
  </si>
  <si>
    <t xml:space="preserve">TRAVAUX EXTÉRIEURS </t>
  </si>
  <si>
    <t>4.5</t>
  </si>
  <si>
    <t>4.6</t>
  </si>
  <si>
    <t>4.7</t>
  </si>
  <si>
    <t>4.8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</si>
  <si>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</si>
  <si>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</si>
  <si>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</si>
  <si>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</si>
  <si>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</si>
  <si>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</si>
  <si>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</si>
  <si>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</si>
  <si>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</si>
  <si>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</si>
  <si>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</si>
  <si>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Fourniture et pose de mitigeur thermostatique de douche</t>
  </si>
  <si>
    <t>ens</t>
  </si>
  <si>
    <t>Fourniture et pose de canalisation cuivre EF  , lave vaisselle</t>
  </si>
  <si>
    <t>TOTAL € HT</t>
  </si>
  <si>
    <t>TVA 20%</t>
  </si>
  <si>
    <t>TOTAL €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</si>
</sst>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entury Gothic"/>
      <family val="2"/>
    </font>
    <font>
      <sz val="11"/>
      <name val="Century Gothic"/>
      <family val="2"/>
    </font>
    <font>
      <b/>
      <sz val="14"/>
      <color rgb="FF00B050"/>
      <name val="Century Gothic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6" fillId="0" borderId="9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2" borderId="6" xfId="0" applyFill="1" applyBorder="1"/>
    <xf numFmtId="0" fontId="0" fillId="2" borderId="6" xfId="0" applyFill="1" applyBorder="1" applyAlignment="1">
      <alignment horizontal="center" vertical="center"/>
    </xf>
    <xf numFmtId="0" fontId="1" fillId="2" borderId="6" xfId="0" applyFont="1" applyFill="1" applyBorder="1"/>
    <xf numFmtId="0" fontId="1" fillId="0" borderId="7" xfId="0" applyFont="1" applyBorder="1"/>
    <xf numFmtId="165" fontId="0" fillId="0" borderId="7" xfId="0" applyNumberFormat="1" applyBorder="1"/>
    <xf numFmtId="0" fontId="0" fillId="0" borderId="7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5" fontId="1" fillId="0" borderId="7" xfId="0" applyNumberFormat="1" applyFont="1" applyBorder="1"/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1" fillId="2" borderId="15" xfId="0" applyFont="1" applyFill="1" applyBorder="1" applyAlignment="1">
      <alignment horizontal="right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/>
    <xf numFmtId="165" fontId="1" fillId="2" borderId="15" xfId="0" applyNumberFormat="1" applyFont="1" applyFill="1" applyBorder="1"/>
    <xf numFmtId="165" fontId="1" fillId="0" borderId="16" xfId="0" applyNumberFormat="1" applyFont="1" applyBorder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Zeros="0" topLeftCell="A18" zoomScaleNormal="100" workbookViewId="0">
      <selection activeCell="F33" sqref="F33"/>
    </sheetView>
  </sheetViews>
  <sheetFormatPr baseColWidth="10" defaultRowHeight="15" x14ac:dyDescent="0.25"/>
  <cols>
    <col min="1" max="1" width="11.5703125" style="3"/>
    <col min="2" max="2" width="70.140625" bestFit="1" customWidth="1"/>
    <col min="3" max="3" width="11.5703125" style="2"/>
  </cols>
  <sheetData>
    <row r="1" spans="1:6" s="1" customFormat="1" ht="101.45" customHeight="1" x14ac:dyDescent="0.3">
      <c r="A1" s="32" t="s">
        <v>62</v>
      </c>
      <c r="B1" s="32"/>
      <c r="C1" s="32"/>
      <c r="D1" s="32"/>
      <c r="E1" s="32"/>
      <c r="F1" s="32"/>
    </row>
    <row r="2" spans="1:6" s="1" customFormat="1" ht="21.6" customHeight="1" thickBot="1" x14ac:dyDescent="0.35">
      <c r="A2" s="33" t="s">
        <v>0</v>
      </c>
      <c r="B2" s="33"/>
      <c r="C2" s="33"/>
      <c r="D2" s="33"/>
      <c r="E2" s="33"/>
      <c r="F2" s="33"/>
    </row>
    <row r="3" spans="1:6" s="1" customFormat="1" ht="49.15" customHeight="1" thickBot="1" x14ac:dyDescent="0.35">
      <c r="A3" s="34" t="s">
        <v>1</v>
      </c>
      <c r="B3" s="35"/>
      <c r="C3" s="35"/>
      <c r="D3" s="35"/>
      <c r="E3" s="35"/>
      <c r="F3" s="36"/>
    </row>
    <row r="4" spans="1:6" s="1" customFormat="1" ht="34.9" customHeight="1" x14ac:dyDescent="0.3">
      <c r="A4" s="4" t="s">
        <v>59</v>
      </c>
      <c r="B4" s="5" t="s">
        <v>2</v>
      </c>
      <c r="C4" s="6" t="s">
        <v>3</v>
      </c>
      <c r="D4" s="7" t="s">
        <v>4</v>
      </c>
      <c r="E4" s="7" t="s">
        <v>5</v>
      </c>
      <c r="F4" s="8" t="s">
        <v>6</v>
      </c>
    </row>
    <row r="5" spans="1:6" x14ac:dyDescent="0.25">
      <c r="A5" s="21">
        <v>1</v>
      </c>
      <c r="B5" s="19" t="s">
        <v>15</v>
      </c>
      <c r="C5" s="10"/>
      <c r="D5" s="9"/>
      <c r="E5" s="9"/>
      <c r="F5" s="9"/>
    </row>
    <row r="6" spans="1:6" x14ac:dyDescent="0.25">
      <c r="A6" s="21" t="s">
        <v>33</v>
      </c>
      <c r="B6" s="9" t="s">
        <v>11</v>
      </c>
      <c r="C6" s="11" t="s">
        <v>9</v>
      </c>
      <c r="D6" s="9">
        <v>1</v>
      </c>
      <c r="E6" s="20">
        <v>910</v>
      </c>
      <c r="F6" s="20">
        <f>+E6*D6</f>
        <v>910</v>
      </c>
    </row>
    <row r="7" spans="1:6" x14ac:dyDescent="0.25">
      <c r="A7" s="21" t="s">
        <v>34</v>
      </c>
      <c r="B7" s="12" t="s">
        <v>12</v>
      </c>
      <c r="C7" s="13" t="s">
        <v>9</v>
      </c>
      <c r="D7" s="12">
        <v>1</v>
      </c>
      <c r="E7" s="20">
        <v>780</v>
      </c>
      <c r="F7" s="20">
        <f>+E7*D7</f>
        <v>780</v>
      </c>
    </row>
    <row r="8" spans="1:6" x14ac:dyDescent="0.25">
      <c r="A8" s="22"/>
      <c r="B8" s="18" t="str">
        <f>+"SOUS.TOTAL " &amp; B5</f>
        <v>SOUS.TOTAL DÉPOSE</v>
      </c>
      <c r="C8" s="17"/>
      <c r="D8" s="16"/>
      <c r="E8" s="20">
        <v>0</v>
      </c>
      <c r="F8" s="24">
        <f>SUM(F6:F7)</f>
        <v>1690</v>
      </c>
    </row>
    <row r="9" spans="1:6" x14ac:dyDescent="0.25">
      <c r="A9" s="23">
        <v>2</v>
      </c>
      <c r="B9" s="19" t="s">
        <v>13</v>
      </c>
      <c r="C9" s="15"/>
      <c r="D9" s="14"/>
      <c r="E9" s="20">
        <v>0</v>
      </c>
      <c r="F9" s="20"/>
    </row>
    <row r="10" spans="1:6" x14ac:dyDescent="0.25">
      <c r="A10" s="23" t="s">
        <v>46</v>
      </c>
      <c r="B10" s="14" t="s">
        <v>14</v>
      </c>
      <c r="C10" s="15" t="s">
        <v>3</v>
      </c>
      <c r="D10" s="14">
        <v>1</v>
      </c>
      <c r="E10" s="20">
        <v>195</v>
      </c>
      <c r="F10" s="20">
        <f>+E10*D10</f>
        <v>195</v>
      </c>
    </row>
    <row r="11" spans="1:6" x14ac:dyDescent="0.25">
      <c r="A11" s="22"/>
      <c r="B11" s="18" t="str">
        <f>+"SOUS.TOTAL " &amp; B9</f>
        <v xml:space="preserve">SOUS.TOTAL INSTALLATION </v>
      </c>
      <c r="C11" s="17"/>
      <c r="D11" s="16"/>
      <c r="E11" s="20">
        <v>0</v>
      </c>
      <c r="F11" s="24">
        <f>SUM(F10)</f>
        <v>195</v>
      </c>
    </row>
    <row r="12" spans="1:6" x14ac:dyDescent="0.25">
      <c r="A12" s="21">
        <v>3</v>
      </c>
      <c r="B12" s="19" t="s">
        <v>16</v>
      </c>
      <c r="C12" s="11"/>
      <c r="D12" s="9"/>
      <c r="E12" s="20">
        <v>0</v>
      </c>
      <c r="F12" s="20"/>
    </row>
    <row r="13" spans="1:6" x14ac:dyDescent="0.25">
      <c r="A13" s="21" t="s">
        <v>47</v>
      </c>
      <c r="B13" s="9" t="s">
        <v>7</v>
      </c>
      <c r="C13" s="11" t="s">
        <v>3</v>
      </c>
      <c r="D13" s="9">
        <v>1</v>
      </c>
      <c r="E13" s="20">
        <v>455</v>
      </c>
      <c r="F13" s="20">
        <f>+E13*D13</f>
        <v>455</v>
      </c>
    </row>
    <row r="14" spans="1:6" x14ac:dyDescent="0.25">
      <c r="A14" s="22"/>
      <c r="B14" s="18" t="str">
        <f>+"SOUS.TOTAL " &amp; B12</f>
        <v>SOUS.TOTAL ALIMENTATION EAU FROIDE GENERALE</v>
      </c>
      <c r="C14" s="17"/>
      <c r="D14" s="16"/>
      <c r="E14" s="20">
        <v>0</v>
      </c>
      <c r="F14" s="24">
        <f>SUM(F13)</f>
        <v>455</v>
      </c>
    </row>
    <row r="15" spans="1:6" x14ac:dyDescent="0.25">
      <c r="A15" s="21">
        <v>4</v>
      </c>
      <c r="B15" s="19" t="s">
        <v>17</v>
      </c>
      <c r="C15" s="11"/>
      <c r="D15" s="9"/>
      <c r="E15" s="20">
        <v>0</v>
      </c>
      <c r="F15" s="20"/>
    </row>
    <row r="16" spans="1:6" x14ac:dyDescent="0.25">
      <c r="A16" s="21" t="s">
        <v>48</v>
      </c>
      <c r="B16" s="9" t="s">
        <v>28</v>
      </c>
      <c r="C16" s="11" t="s">
        <v>29</v>
      </c>
      <c r="D16" s="9">
        <v>1</v>
      </c>
      <c r="E16" s="20">
        <v>650</v>
      </c>
      <c r="F16" s="20">
        <f>+E16*D16</f>
        <v>650</v>
      </c>
    </row>
    <row r="17" spans="1:6" x14ac:dyDescent="0.25">
      <c r="A17" s="21" t="s">
        <v>49</v>
      </c>
      <c r="B17" s="9" t="s">
        <v>18</v>
      </c>
      <c r="C17" s="11" t="s">
        <v>10</v>
      </c>
      <c r="D17" s="9">
        <v>85</v>
      </c>
      <c r="E17" s="20">
        <v>28.6</v>
      </c>
      <c r="F17" s="20">
        <f>+E17*D17</f>
        <v>2431</v>
      </c>
    </row>
    <row r="18" spans="1:6" x14ac:dyDescent="0.25">
      <c r="A18" s="21" t="s">
        <v>50</v>
      </c>
      <c r="B18" s="9" t="s">
        <v>19</v>
      </c>
      <c r="C18" s="11" t="s">
        <v>10</v>
      </c>
      <c r="D18" s="9">
        <v>35</v>
      </c>
      <c r="E18" s="20">
        <v>36.4</v>
      </c>
      <c r="F18" s="20">
        <f>+E18*D18</f>
        <v>1274</v>
      </c>
    </row>
    <row r="19" spans="1:6" x14ac:dyDescent="0.25">
      <c r="A19" s="21" t="s">
        <v>51</v>
      </c>
      <c r="B19" s="9" t="s">
        <v>30</v>
      </c>
      <c r="C19" s="11" t="s">
        <v>29</v>
      </c>
      <c r="D19" s="9">
        <v>1</v>
      </c>
      <c r="E19" s="20">
        <v>19.5</v>
      </c>
      <c r="F19" s="20">
        <f>+E19*D19</f>
        <v>19.5</v>
      </c>
    </row>
    <row r="20" spans="1:6" x14ac:dyDescent="0.25">
      <c r="A20" s="22"/>
      <c r="B20" s="18" t="str">
        <f>+"SOUS.TOTAL " &amp; B15</f>
        <v>SOUS.TOTAL RESEAUX EC/EF</v>
      </c>
      <c r="C20" s="17"/>
      <c r="D20" s="16"/>
      <c r="E20" s="20">
        <v>0</v>
      </c>
      <c r="F20" s="24">
        <f>SUM(F16:F19)</f>
        <v>4374.5</v>
      </c>
    </row>
    <row r="21" spans="1:6" x14ac:dyDescent="0.25">
      <c r="A21" s="21">
        <v>5</v>
      </c>
      <c r="B21" s="19" t="s">
        <v>31</v>
      </c>
      <c r="C21" s="11"/>
      <c r="D21" s="9"/>
      <c r="E21" s="20">
        <v>0</v>
      </c>
      <c r="F21" s="20"/>
    </row>
    <row r="22" spans="1:6" x14ac:dyDescent="0.25">
      <c r="A22" s="21" t="s">
        <v>52</v>
      </c>
      <c r="B22" s="9" t="s">
        <v>32</v>
      </c>
      <c r="C22" s="11" t="s">
        <v>3</v>
      </c>
      <c r="D22" s="9">
        <v>1</v>
      </c>
      <c r="E22" s="20">
        <v>1235</v>
      </c>
      <c r="F22" s="20">
        <f>+E22*D22</f>
        <v>1235</v>
      </c>
    </row>
    <row r="23" spans="1:6" x14ac:dyDescent="0.25">
      <c r="A23" s="21" t="s">
        <v>53</v>
      </c>
      <c r="B23" s="9" t="s">
        <v>21</v>
      </c>
      <c r="C23" s="25" t="s">
        <v>22</v>
      </c>
      <c r="D23" s="9"/>
      <c r="E23" s="20">
        <v>0</v>
      </c>
      <c r="F23" s="20">
        <f>+E23*D23</f>
        <v>0</v>
      </c>
    </row>
    <row r="24" spans="1:6" x14ac:dyDescent="0.25">
      <c r="A24" s="21" t="s">
        <v>60</v>
      </c>
      <c r="B24" s="9" t="s">
        <v>61</v>
      </c>
      <c r="C24" s="11" t="s">
        <v>29</v>
      </c>
      <c r="D24" s="9">
        <v>1</v>
      </c>
      <c r="E24" s="20">
        <v>338</v>
      </c>
      <c r="F24" s="20">
        <f>+E24*D24</f>
        <v>338</v>
      </c>
    </row>
    <row r="25" spans="1:6" x14ac:dyDescent="0.25">
      <c r="A25" s="22"/>
      <c r="B25" s="18" t="str">
        <f>+"SOUS.TOTAL " &amp; B21</f>
        <v>SOUS.TOTAL PRODUCTION ECS</v>
      </c>
      <c r="C25" s="17"/>
      <c r="D25" s="16"/>
      <c r="E25" s="20">
        <v>0</v>
      </c>
      <c r="F25" s="24">
        <f>SUM(F22:F24)</f>
        <v>1573</v>
      </c>
    </row>
    <row r="26" spans="1:6" x14ac:dyDescent="0.25">
      <c r="A26" s="21">
        <v>6</v>
      </c>
      <c r="B26" s="19" t="s">
        <v>8</v>
      </c>
      <c r="C26" s="11"/>
      <c r="D26" s="9"/>
      <c r="E26" s="20">
        <v>0</v>
      </c>
      <c r="F26" s="20"/>
    </row>
    <row r="27" spans="1:6" x14ac:dyDescent="0.25">
      <c r="A27" s="21" t="s">
        <v>54</v>
      </c>
      <c r="B27" s="9" t="s">
        <v>23</v>
      </c>
      <c r="C27" s="11" t="s">
        <v>10</v>
      </c>
      <c r="D27" s="9">
        <v>15</v>
      </c>
      <c r="E27" s="20">
        <v>650</v>
      </c>
      <c r="F27" s="20">
        <f>+E27*D27</f>
        <v>9750</v>
      </c>
    </row>
    <row r="28" spans="1:6" x14ac:dyDescent="0.25">
      <c r="A28" s="21" t="s">
        <v>55</v>
      </c>
      <c r="B28" s="9" t="s">
        <v>24</v>
      </c>
      <c r="C28" s="25" t="s">
        <v>22</v>
      </c>
      <c r="D28" s="9"/>
      <c r="E28" s="20">
        <v>286</v>
      </c>
      <c r="F28" s="20">
        <f>+E28*D28</f>
        <v>0</v>
      </c>
    </row>
    <row r="29" spans="1:6" x14ac:dyDescent="0.25">
      <c r="A29" s="21" t="s">
        <v>56</v>
      </c>
      <c r="B29" s="9" t="s">
        <v>25</v>
      </c>
      <c r="C29" s="11" t="s">
        <v>10</v>
      </c>
      <c r="D29" s="9">
        <v>35</v>
      </c>
      <c r="E29" s="20">
        <v>28.6</v>
      </c>
      <c r="F29" s="20">
        <f>+E29*D29</f>
        <v>1001</v>
      </c>
    </row>
    <row r="30" spans="1:6" x14ac:dyDescent="0.25">
      <c r="A30" s="21" t="s">
        <v>57</v>
      </c>
      <c r="B30" s="9" t="s">
        <v>26</v>
      </c>
      <c r="C30" s="11" t="s">
        <v>10</v>
      </c>
      <c r="D30" s="9">
        <v>55</v>
      </c>
      <c r="E30" s="20">
        <v>19.5</v>
      </c>
      <c r="F30" s="20">
        <f>+E30*D30</f>
        <v>1072.5</v>
      </c>
    </row>
    <row r="31" spans="1:6" x14ac:dyDescent="0.25">
      <c r="A31" s="21" t="s">
        <v>58</v>
      </c>
      <c r="B31" s="9" t="s">
        <v>27</v>
      </c>
      <c r="C31" s="11" t="s">
        <v>29</v>
      </c>
      <c r="D31" s="9">
        <v>1</v>
      </c>
      <c r="E31" s="20">
        <v>416</v>
      </c>
      <c r="F31" s="20">
        <f>+E31*D31</f>
        <v>416</v>
      </c>
    </row>
    <row r="32" spans="1:6" ht="15.75" thickBot="1" x14ac:dyDescent="0.3">
      <c r="A32" s="22"/>
      <c r="B32" s="18" t="str">
        <f>+"SOUS.TOTAL " &amp; B26</f>
        <v>SOUS.TOTAL EVACUATION EU / EV</v>
      </c>
      <c r="C32" s="17"/>
      <c r="D32" s="16"/>
      <c r="E32" s="20">
        <v>0</v>
      </c>
      <c r="F32" s="24">
        <f>SUM(F27:F31)</f>
        <v>12239.5</v>
      </c>
    </row>
    <row r="33" spans="1:6" ht="15.75" thickBot="1" x14ac:dyDescent="0.3">
      <c r="A33" s="26"/>
      <c r="B33" s="27"/>
      <c r="C33" s="28"/>
      <c r="D33" s="29"/>
      <c r="E33" s="30" t="s">
        <v>152</v>
      </c>
      <c r="F33" s="31">
        <f>SUM(F6:F32)/2</f>
        <v>20527</v>
      </c>
    </row>
    <row r="34" spans="1:6" ht="15.75" thickBot="1" x14ac:dyDescent="0.3">
      <c r="A34" s="26"/>
      <c r="B34" s="27"/>
      <c r="C34" s="28"/>
      <c r="D34" s="29"/>
      <c r="E34" s="30" t="s">
        <v>153</v>
      </c>
      <c r="F34" s="31">
        <f>+F33*0.2</f>
        <v>4105.4000000000005</v>
      </c>
    </row>
    <row r="35" spans="1:6" ht="15.75" thickBot="1" x14ac:dyDescent="0.3">
      <c r="A35" s="26"/>
      <c r="B35" s="27"/>
      <c r="C35" s="28"/>
      <c r="D35" s="29"/>
      <c r="E35" s="30" t="s">
        <v>154</v>
      </c>
      <c r="F35" s="31">
        <f>SUM(F33:F34)</f>
        <v>24632.400000000001</v>
      </c>
    </row>
  </sheetData>
  <mergeCells count="3">
    <mergeCell ref="A1:F1"/>
    <mergeCell ref="A2:F2"/>
    <mergeCell ref="A3:F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showZeros="0" topLeftCell="A25" workbookViewId="0">
      <selection activeCell="F41" sqref="F41"/>
    </sheetView>
  </sheetViews>
  <sheetFormatPr baseColWidth="10" defaultRowHeight="15" x14ac:dyDescent="0.25"/>
  <cols>
    <col min="2" max="2" width="89.28515625" bestFit="1" customWidth="1"/>
  </cols>
  <sheetData>
    <row r="1" spans="1:6" s="1" customFormat="1" ht="101.45" customHeight="1" x14ac:dyDescent="0.3">
      <c r="A1" s="32" t="s">
        <v>62</v>
      </c>
      <c r="B1" s="32"/>
      <c r="C1" s="32"/>
      <c r="D1" s="32"/>
      <c r="E1" s="32"/>
      <c r="F1" s="32"/>
    </row>
    <row r="2" spans="1:6" s="1" customFormat="1" ht="21.6" customHeight="1" thickBot="1" x14ac:dyDescent="0.35">
      <c r="A2" s="33" t="s">
        <v>0</v>
      </c>
      <c r="B2" s="33"/>
      <c r="C2" s="33"/>
      <c r="D2" s="33"/>
      <c r="E2" s="33"/>
      <c r="F2" s="33"/>
    </row>
    <row r="3" spans="1:6" s="1" customFormat="1" ht="49.15" customHeight="1" thickBot="1" x14ac:dyDescent="0.35">
      <c r="A3" s="34" t="s">
        <v>1</v>
      </c>
      <c r="B3" s="35"/>
      <c r="C3" s="35"/>
      <c r="D3" s="35"/>
      <c r="E3" s="35"/>
      <c r="F3" s="36"/>
    </row>
    <row r="4" spans="1:6" x14ac:dyDescent="0.25">
      <c r="A4" s="4" t="s">
        <v>59</v>
      </c>
      <c r="B4" s="5" t="s">
        <v>2</v>
      </c>
      <c r="C4" s="6" t="s">
        <v>3</v>
      </c>
      <c r="D4" s="7" t="s">
        <v>4</v>
      </c>
      <c r="E4" s="7" t="s">
        <v>5</v>
      </c>
      <c r="F4" s="8" t="s">
        <v>6</v>
      </c>
    </row>
    <row r="5" spans="1:6" x14ac:dyDescent="0.25">
      <c r="A5" s="21">
        <v>1</v>
      </c>
      <c r="B5" s="19" t="s">
        <v>74</v>
      </c>
      <c r="C5" s="10"/>
      <c r="D5" s="9"/>
      <c r="E5" s="9"/>
      <c r="F5" s="9"/>
    </row>
    <row r="6" spans="1:6" x14ac:dyDescent="0.25">
      <c r="A6" s="21" t="s">
        <v>33</v>
      </c>
      <c r="B6" s="9" t="s">
        <v>75</v>
      </c>
      <c r="C6" s="11" t="s">
        <v>3</v>
      </c>
      <c r="D6" s="9">
        <v>1</v>
      </c>
      <c r="E6" s="20">
        <v>494</v>
      </c>
      <c r="F6" s="20">
        <f t="shared" ref="F6:F17" si="0">+E6*D6</f>
        <v>494</v>
      </c>
    </row>
    <row r="7" spans="1:6" x14ac:dyDescent="0.25">
      <c r="A7" s="21" t="s">
        <v>34</v>
      </c>
      <c r="B7" s="12" t="s">
        <v>76</v>
      </c>
      <c r="C7" s="11" t="s">
        <v>3</v>
      </c>
      <c r="D7" s="12">
        <v>1</v>
      </c>
      <c r="E7" s="20">
        <v>71.5</v>
      </c>
      <c r="F7" s="20">
        <f t="shared" si="0"/>
        <v>71.5</v>
      </c>
    </row>
    <row r="8" spans="1:6" x14ac:dyDescent="0.25">
      <c r="A8" s="21" t="s">
        <v>35</v>
      </c>
      <c r="B8" s="9" t="s">
        <v>77</v>
      </c>
      <c r="C8" s="11" t="s">
        <v>3</v>
      </c>
      <c r="D8" s="9">
        <v>1</v>
      </c>
      <c r="E8" s="20">
        <v>71.5</v>
      </c>
      <c r="F8" s="20">
        <f t="shared" si="0"/>
        <v>71.5</v>
      </c>
    </row>
    <row r="9" spans="1:6" x14ac:dyDescent="0.25">
      <c r="A9" s="21" t="s">
        <v>36</v>
      </c>
      <c r="B9" s="9" t="s">
        <v>149</v>
      </c>
      <c r="C9" s="11" t="s">
        <v>3</v>
      </c>
      <c r="D9" s="9">
        <v>1</v>
      </c>
      <c r="E9" s="20">
        <v>299</v>
      </c>
      <c r="F9" s="20">
        <f t="shared" si="0"/>
        <v>299</v>
      </c>
    </row>
    <row r="10" spans="1:6" x14ac:dyDescent="0.25">
      <c r="A10" s="21" t="s">
        <v>37</v>
      </c>
      <c r="B10" s="9" t="s">
        <v>78</v>
      </c>
      <c r="C10" s="11" t="s">
        <v>3</v>
      </c>
      <c r="D10" s="9">
        <v>1</v>
      </c>
      <c r="E10" s="20">
        <v>650</v>
      </c>
      <c r="F10" s="20">
        <f t="shared" si="0"/>
        <v>650</v>
      </c>
    </row>
    <row r="11" spans="1:6" x14ac:dyDescent="0.25">
      <c r="A11" s="21" t="s">
        <v>38</v>
      </c>
      <c r="B11" s="9" t="s">
        <v>79</v>
      </c>
      <c r="C11" s="11" t="s">
        <v>3</v>
      </c>
      <c r="D11" s="9">
        <v>1</v>
      </c>
      <c r="E11" s="20">
        <v>884</v>
      </c>
      <c r="F11" s="20">
        <f t="shared" si="0"/>
        <v>884</v>
      </c>
    </row>
    <row r="12" spans="1:6" x14ac:dyDescent="0.25">
      <c r="A12" s="21" t="s">
        <v>39</v>
      </c>
      <c r="B12" s="9" t="s">
        <v>80</v>
      </c>
      <c r="C12" s="11" t="s">
        <v>3</v>
      </c>
      <c r="D12" s="9">
        <v>1</v>
      </c>
      <c r="E12" s="20">
        <v>156</v>
      </c>
      <c r="F12" s="20">
        <f t="shared" si="0"/>
        <v>156</v>
      </c>
    </row>
    <row r="13" spans="1:6" x14ac:dyDescent="0.25">
      <c r="A13" s="21" t="s">
        <v>40</v>
      </c>
      <c r="B13" s="9" t="s">
        <v>81</v>
      </c>
      <c r="C13" s="11" t="s">
        <v>10</v>
      </c>
      <c r="D13" s="9">
        <v>13.5</v>
      </c>
      <c r="E13" s="20">
        <v>36.4</v>
      </c>
      <c r="F13" s="20">
        <f t="shared" si="0"/>
        <v>491.4</v>
      </c>
    </row>
    <row r="14" spans="1:6" x14ac:dyDescent="0.25">
      <c r="A14" s="21" t="s">
        <v>42</v>
      </c>
      <c r="B14" s="9" t="s">
        <v>82</v>
      </c>
      <c r="C14" s="11" t="s">
        <v>10</v>
      </c>
      <c r="D14" s="9">
        <v>15.524999999999999</v>
      </c>
      <c r="E14" s="20">
        <v>39</v>
      </c>
      <c r="F14" s="20">
        <f t="shared" si="0"/>
        <v>605.47499999999991</v>
      </c>
    </row>
    <row r="15" spans="1:6" x14ac:dyDescent="0.25">
      <c r="A15" s="21" t="s">
        <v>43</v>
      </c>
      <c r="B15" s="9" t="s">
        <v>84</v>
      </c>
      <c r="C15" s="11" t="s">
        <v>10</v>
      </c>
      <c r="D15" s="9">
        <v>15.524999999999999</v>
      </c>
      <c r="E15" s="20">
        <v>31.200000000000003</v>
      </c>
      <c r="F15" s="20">
        <f t="shared" si="0"/>
        <v>484.38</v>
      </c>
    </row>
    <row r="16" spans="1:6" x14ac:dyDescent="0.25">
      <c r="A16" s="21" t="s">
        <v>44</v>
      </c>
      <c r="B16" s="9" t="s">
        <v>83</v>
      </c>
      <c r="C16" s="11" t="s">
        <v>10</v>
      </c>
      <c r="D16" s="9">
        <v>10.8</v>
      </c>
      <c r="E16" s="20">
        <v>19.5</v>
      </c>
      <c r="F16" s="20">
        <f t="shared" si="0"/>
        <v>210.60000000000002</v>
      </c>
    </row>
    <row r="17" spans="1:6" x14ac:dyDescent="0.25">
      <c r="A17" s="21" t="s">
        <v>45</v>
      </c>
      <c r="B17" s="9" t="s">
        <v>20</v>
      </c>
      <c r="C17" s="11" t="s">
        <v>29</v>
      </c>
      <c r="D17" s="9">
        <v>1</v>
      </c>
      <c r="E17" s="20">
        <v>195</v>
      </c>
      <c r="F17" s="20">
        <f t="shared" si="0"/>
        <v>195</v>
      </c>
    </row>
    <row r="18" spans="1:6" x14ac:dyDescent="0.25">
      <c r="A18" s="22"/>
      <c r="B18" s="18" t="str">
        <f>+"SOUS.TOTAL " &amp; B5</f>
        <v xml:space="preserve">SOUS.TOTAL SALLE DE BAIN </v>
      </c>
      <c r="C18" s="17"/>
      <c r="D18" s="16"/>
      <c r="E18" s="20">
        <v>0</v>
      </c>
      <c r="F18" s="24">
        <f>SUM(F6:F17)</f>
        <v>4612.8550000000005</v>
      </c>
    </row>
    <row r="19" spans="1:6" x14ac:dyDescent="0.25">
      <c r="A19" s="23">
        <v>2</v>
      </c>
      <c r="B19" s="19" t="s">
        <v>72</v>
      </c>
      <c r="C19" s="15"/>
      <c r="D19" s="14"/>
      <c r="E19" s="20">
        <v>0</v>
      </c>
      <c r="F19" s="20"/>
    </row>
    <row r="20" spans="1:6" x14ac:dyDescent="0.25">
      <c r="A20" s="23" t="s">
        <v>46</v>
      </c>
      <c r="B20" s="14" t="s">
        <v>85</v>
      </c>
      <c r="C20" s="15" t="s">
        <v>3</v>
      </c>
      <c r="D20" s="14">
        <v>1</v>
      </c>
      <c r="E20" s="20">
        <v>546</v>
      </c>
      <c r="F20" s="20">
        <f>+E20*D20</f>
        <v>546</v>
      </c>
    </row>
    <row r="21" spans="1:6" x14ac:dyDescent="0.25">
      <c r="A21" s="23" t="s">
        <v>65</v>
      </c>
      <c r="B21" s="9" t="s">
        <v>81</v>
      </c>
      <c r="C21" s="15" t="s">
        <v>10</v>
      </c>
      <c r="D21" s="14">
        <v>10.8</v>
      </c>
      <c r="E21" s="20">
        <v>36.4</v>
      </c>
      <c r="F21" s="20">
        <f>+E21*D21</f>
        <v>393.12</v>
      </c>
    </row>
    <row r="22" spans="1:6" x14ac:dyDescent="0.25">
      <c r="A22" s="23" t="s">
        <v>87</v>
      </c>
      <c r="B22" s="9" t="s">
        <v>83</v>
      </c>
      <c r="C22" s="15" t="s">
        <v>10</v>
      </c>
      <c r="D22" s="14">
        <v>13.5</v>
      </c>
      <c r="E22" s="20">
        <v>19.5</v>
      </c>
      <c r="F22" s="20">
        <f>+E22*D22</f>
        <v>263.25</v>
      </c>
    </row>
    <row r="23" spans="1:6" x14ac:dyDescent="0.25">
      <c r="A23" s="23" t="s">
        <v>65</v>
      </c>
      <c r="B23" s="9" t="s">
        <v>20</v>
      </c>
      <c r="C23" s="15" t="s">
        <v>150</v>
      </c>
      <c r="D23" s="14">
        <v>1</v>
      </c>
      <c r="E23" s="20">
        <v>78</v>
      </c>
      <c r="F23" s="20">
        <f>+E23*D23</f>
        <v>78</v>
      </c>
    </row>
    <row r="24" spans="1:6" x14ac:dyDescent="0.25">
      <c r="A24" s="22"/>
      <c r="B24" s="18" t="str">
        <f>+"SOUS.TOTAL " &amp; B19</f>
        <v>SOUS.TOTAL WC STANDARD</v>
      </c>
      <c r="C24" s="17"/>
      <c r="D24" s="16"/>
      <c r="E24" s="20">
        <v>0</v>
      </c>
      <c r="F24" s="24">
        <f>SUM(F20:F23)</f>
        <v>1280.3699999999999</v>
      </c>
    </row>
    <row r="25" spans="1:6" x14ac:dyDescent="0.25">
      <c r="A25" s="21">
        <v>3</v>
      </c>
      <c r="B25" s="19" t="s">
        <v>64</v>
      </c>
      <c r="C25" s="11"/>
      <c r="D25" s="9"/>
      <c r="E25" s="20">
        <v>0</v>
      </c>
      <c r="F25" s="20"/>
    </row>
    <row r="26" spans="1:6" x14ac:dyDescent="0.25">
      <c r="A26" s="21" t="s">
        <v>47</v>
      </c>
      <c r="B26" s="9" t="s">
        <v>88</v>
      </c>
      <c r="C26" s="11" t="s">
        <v>3</v>
      </c>
      <c r="D26" s="9">
        <v>1</v>
      </c>
      <c r="E26" s="20">
        <v>442</v>
      </c>
      <c r="F26" s="20">
        <f t="shared" ref="F26:F36" si="1">+E26*D26</f>
        <v>442</v>
      </c>
    </row>
    <row r="27" spans="1:6" x14ac:dyDescent="0.25">
      <c r="A27" s="21" t="s">
        <v>67</v>
      </c>
      <c r="B27" s="9" t="s">
        <v>105</v>
      </c>
      <c r="C27" s="11" t="s">
        <v>10</v>
      </c>
      <c r="D27" s="9">
        <v>5.4</v>
      </c>
      <c r="E27" s="20">
        <v>36.4</v>
      </c>
      <c r="F27" s="20">
        <f t="shared" si="1"/>
        <v>196.56</v>
      </c>
    </row>
    <row r="28" spans="1:6" x14ac:dyDescent="0.25">
      <c r="A28" s="21" t="s">
        <v>68</v>
      </c>
      <c r="B28" s="9" t="s">
        <v>89</v>
      </c>
      <c r="C28" s="11" t="s">
        <v>10</v>
      </c>
      <c r="D28" s="9">
        <v>6.21</v>
      </c>
      <c r="E28" s="20">
        <v>39</v>
      </c>
      <c r="F28" s="20">
        <f t="shared" si="1"/>
        <v>242.19</v>
      </c>
    </row>
    <row r="29" spans="1:6" x14ac:dyDescent="0.25">
      <c r="A29" s="21" t="s">
        <v>96</v>
      </c>
      <c r="B29" s="9" t="s">
        <v>90</v>
      </c>
      <c r="C29" s="11" t="s">
        <v>10</v>
      </c>
      <c r="D29" s="9">
        <v>6.21</v>
      </c>
      <c r="E29" s="20">
        <v>31.200000000000003</v>
      </c>
      <c r="F29" s="20">
        <f t="shared" si="1"/>
        <v>193.75200000000001</v>
      </c>
    </row>
    <row r="30" spans="1:6" x14ac:dyDescent="0.25">
      <c r="A30" s="21" t="s">
        <v>97</v>
      </c>
      <c r="B30" s="9" t="s">
        <v>91</v>
      </c>
      <c r="C30" s="11" t="s">
        <v>10</v>
      </c>
      <c r="D30" s="9">
        <v>4.32</v>
      </c>
      <c r="E30" s="20">
        <v>19.5</v>
      </c>
      <c r="F30" s="20">
        <f t="shared" si="1"/>
        <v>84.240000000000009</v>
      </c>
    </row>
    <row r="31" spans="1:6" x14ac:dyDescent="0.25">
      <c r="A31" s="21" t="s">
        <v>98</v>
      </c>
      <c r="B31" s="9" t="s">
        <v>92</v>
      </c>
      <c r="C31" s="11" t="s">
        <v>29</v>
      </c>
      <c r="D31" s="9">
        <v>1</v>
      </c>
      <c r="E31" s="20">
        <v>78</v>
      </c>
      <c r="F31" s="20">
        <f t="shared" si="1"/>
        <v>78</v>
      </c>
    </row>
    <row r="32" spans="1:6" x14ac:dyDescent="0.25">
      <c r="A32" s="21" t="s">
        <v>99</v>
      </c>
      <c r="B32" s="9" t="s">
        <v>151</v>
      </c>
      <c r="C32" s="11" t="s">
        <v>10</v>
      </c>
      <c r="D32" s="9">
        <v>6.75</v>
      </c>
      <c r="E32" s="20">
        <v>28.6</v>
      </c>
      <c r="F32" s="20">
        <f t="shared" si="1"/>
        <v>193.05</v>
      </c>
    </row>
    <row r="33" spans="1:6" x14ac:dyDescent="0.25">
      <c r="A33" s="21" t="s">
        <v>100</v>
      </c>
      <c r="B33" s="9" t="s">
        <v>93</v>
      </c>
      <c r="C33" s="11" t="s">
        <v>10</v>
      </c>
      <c r="D33" s="9">
        <v>7.7624999999999993</v>
      </c>
      <c r="E33" s="20">
        <v>39</v>
      </c>
      <c r="F33" s="20">
        <f t="shared" si="1"/>
        <v>302.73749999999995</v>
      </c>
    </row>
    <row r="34" spans="1:6" x14ac:dyDescent="0.25">
      <c r="A34" s="21" t="s">
        <v>101</v>
      </c>
      <c r="B34" s="9" t="s">
        <v>94</v>
      </c>
      <c r="C34" s="11" t="s">
        <v>10</v>
      </c>
      <c r="D34" s="9">
        <v>7.7624999999999993</v>
      </c>
      <c r="E34" s="20">
        <v>31.200000000000003</v>
      </c>
      <c r="F34" s="20">
        <f t="shared" si="1"/>
        <v>242.19</v>
      </c>
    </row>
    <row r="35" spans="1:6" x14ac:dyDescent="0.25">
      <c r="A35" s="21" t="s">
        <v>102</v>
      </c>
      <c r="B35" s="9" t="s">
        <v>95</v>
      </c>
      <c r="C35" s="11" t="s">
        <v>10</v>
      </c>
      <c r="D35" s="9">
        <v>5.4</v>
      </c>
      <c r="E35" s="20">
        <v>19.5</v>
      </c>
      <c r="F35" s="20">
        <f t="shared" si="1"/>
        <v>105.30000000000001</v>
      </c>
    </row>
    <row r="36" spans="1:6" x14ac:dyDescent="0.25">
      <c r="A36" s="21" t="s">
        <v>103</v>
      </c>
      <c r="B36" s="9" t="s">
        <v>20</v>
      </c>
      <c r="C36" s="11" t="s">
        <v>29</v>
      </c>
      <c r="D36" s="9">
        <v>1</v>
      </c>
      <c r="E36" s="20">
        <v>78</v>
      </c>
      <c r="F36" s="20">
        <f t="shared" si="1"/>
        <v>78</v>
      </c>
    </row>
    <row r="37" spans="1:6" x14ac:dyDescent="0.25">
      <c r="A37" s="22"/>
      <c r="B37" s="18" t="str">
        <f>+"SOUS.TOTAL " &amp; B25</f>
        <v>SOUS.TOTAL CUISINE</v>
      </c>
      <c r="C37" s="17"/>
      <c r="D37" s="16"/>
      <c r="E37" s="20">
        <v>0</v>
      </c>
      <c r="F37" s="24">
        <f>SUM(F26:F36)</f>
        <v>2158.0194999999999</v>
      </c>
    </row>
    <row r="38" spans="1:6" x14ac:dyDescent="0.25">
      <c r="A38" s="21">
        <v>4</v>
      </c>
      <c r="B38" s="19" t="s">
        <v>104</v>
      </c>
      <c r="C38" s="11"/>
      <c r="D38" s="9"/>
      <c r="E38" s="20">
        <v>0</v>
      </c>
      <c r="F38" s="20"/>
    </row>
    <row r="39" spans="1:6" x14ac:dyDescent="0.25">
      <c r="A39" s="21" t="s">
        <v>48</v>
      </c>
      <c r="B39" s="9" t="s">
        <v>73</v>
      </c>
      <c r="C39" s="11" t="s">
        <v>3</v>
      </c>
      <c r="D39" s="9">
        <v>1</v>
      </c>
      <c r="E39" s="20">
        <v>195</v>
      </c>
      <c r="F39" s="20">
        <f>+E39*D39</f>
        <v>195</v>
      </c>
    </row>
    <row r="40" spans="1:6" ht="15.75" thickBot="1" x14ac:dyDescent="0.3">
      <c r="A40" s="22"/>
      <c r="B40" s="18" t="str">
        <f>+"SOUS.TOTAL " &amp; B38</f>
        <v>SOUS.TOTAL TRAVAUX EXTÉRIEURS</v>
      </c>
      <c r="C40" s="17"/>
      <c r="D40" s="16"/>
      <c r="E40" s="20">
        <v>0</v>
      </c>
      <c r="F40" s="24">
        <f>SUM(F39)</f>
        <v>195</v>
      </c>
    </row>
    <row r="41" spans="1:6" ht="15.75" thickBot="1" x14ac:dyDescent="0.3">
      <c r="A41" s="26"/>
      <c r="B41" s="27"/>
      <c r="C41" s="28"/>
      <c r="D41" s="29"/>
      <c r="E41" s="30" t="s">
        <v>152</v>
      </c>
      <c r="F41" s="31">
        <f>SUM(F6:F40)/2</f>
        <v>8246.2445000000007</v>
      </c>
    </row>
    <row r="42" spans="1:6" ht="15.75" thickBot="1" x14ac:dyDescent="0.3">
      <c r="A42" s="26"/>
      <c r="B42" s="27"/>
      <c r="C42" s="28"/>
      <c r="D42" s="29"/>
      <c r="E42" s="30" t="s">
        <v>153</v>
      </c>
      <c r="F42" s="31">
        <f>+F41*0.2</f>
        <v>1649.2489000000003</v>
      </c>
    </row>
    <row r="43" spans="1:6" ht="15.75" thickBot="1" x14ac:dyDescent="0.3">
      <c r="A43" s="26"/>
      <c r="B43" s="27"/>
      <c r="C43" s="28"/>
      <c r="D43" s="29"/>
      <c r="E43" s="30" t="s">
        <v>154</v>
      </c>
      <c r="F43" s="31">
        <f>SUM(F41:F42)</f>
        <v>9895.4934000000012</v>
      </c>
    </row>
  </sheetData>
  <mergeCells count="3">
    <mergeCell ref="A1:F1"/>
    <mergeCell ref="A2:F2"/>
    <mergeCell ref="A3:F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showZeros="0" tabSelected="1" topLeftCell="A43" zoomScale="85" zoomScaleNormal="85" workbookViewId="0">
      <selection activeCell="F58" sqref="F58"/>
    </sheetView>
  </sheetViews>
  <sheetFormatPr baseColWidth="10" defaultRowHeight="15" x14ac:dyDescent="0.25"/>
  <cols>
    <col min="2" max="2" width="89.28515625" bestFit="1" customWidth="1"/>
  </cols>
  <sheetData>
    <row r="1" spans="1:6" s="1" customFormat="1" ht="101.45" customHeight="1" x14ac:dyDescent="0.3">
      <c r="A1" s="32" t="s">
        <v>62</v>
      </c>
      <c r="B1" s="32"/>
      <c r="C1" s="32"/>
      <c r="D1" s="32"/>
      <c r="E1" s="32"/>
      <c r="F1" s="32"/>
    </row>
    <row r="2" spans="1:6" s="1" customFormat="1" ht="21.6" customHeight="1" thickBot="1" x14ac:dyDescent="0.35">
      <c r="A2" s="33" t="s">
        <v>0</v>
      </c>
      <c r="B2" s="33"/>
      <c r="C2" s="33"/>
      <c r="D2" s="33"/>
      <c r="E2" s="33"/>
      <c r="F2" s="33"/>
    </row>
    <row r="3" spans="1:6" s="1" customFormat="1" ht="49.15" customHeight="1" thickBot="1" x14ac:dyDescent="0.35">
      <c r="A3" s="34" t="s">
        <v>1</v>
      </c>
      <c r="B3" s="35"/>
      <c r="C3" s="35"/>
      <c r="D3" s="35"/>
      <c r="E3" s="35"/>
      <c r="F3" s="36"/>
    </row>
    <row r="4" spans="1:6" x14ac:dyDescent="0.25">
      <c r="A4" s="4" t="s">
        <v>59</v>
      </c>
      <c r="B4" s="5" t="s">
        <v>2</v>
      </c>
      <c r="C4" s="6" t="s">
        <v>3</v>
      </c>
      <c r="D4" s="7" t="s">
        <v>4</v>
      </c>
      <c r="E4" s="7" t="s">
        <v>5</v>
      </c>
      <c r="F4" s="8" t="s">
        <v>6</v>
      </c>
    </row>
    <row r="5" spans="1:6" x14ac:dyDescent="0.25">
      <c r="A5" s="21">
        <v>1</v>
      </c>
      <c r="B5" s="19" t="s">
        <v>63</v>
      </c>
      <c r="C5" s="10"/>
      <c r="D5" s="9"/>
      <c r="E5" s="9"/>
      <c r="F5" s="9"/>
    </row>
    <row r="6" spans="1:6" x14ac:dyDescent="0.25">
      <c r="A6" s="21" t="s">
        <v>33</v>
      </c>
      <c r="B6" s="9" t="s">
        <v>106</v>
      </c>
      <c r="C6" s="11" t="s">
        <v>10</v>
      </c>
      <c r="D6" s="9">
        <v>28.35</v>
      </c>
      <c r="E6" s="20">
        <v>36.4</v>
      </c>
      <c r="F6" s="20">
        <f t="shared" ref="F6:F15" si="0">+E6*D6</f>
        <v>1031.94</v>
      </c>
    </row>
    <row r="7" spans="1:6" x14ac:dyDescent="0.25">
      <c r="A7" s="21" t="s">
        <v>35</v>
      </c>
      <c r="B7" s="9" t="s">
        <v>107</v>
      </c>
      <c r="C7" s="11" t="s">
        <v>10</v>
      </c>
      <c r="D7" s="9">
        <v>32.602499999999999</v>
      </c>
      <c r="E7" s="20">
        <v>39</v>
      </c>
      <c r="F7" s="20">
        <f t="shared" si="0"/>
        <v>1271.4974999999999</v>
      </c>
    </row>
    <row r="8" spans="1:6" x14ac:dyDescent="0.25">
      <c r="A8" s="21" t="s">
        <v>36</v>
      </c>
      <c r="B8" s="9" t="s">
        <v>108</v>
      </c>
      <c r="C8" s="11" t="s">
        <v>10</v>
      </c>
      <c r="D8" s="9">
        <v>32.602499999999999</v>
      </c>
      <c r="E8" s="20">
        <v>31.200000000000003</v>
      </c>
      <c r="F8" s="20">
        <f t="shared" si="0"/>
        <v>1017.1980000000001</v>
      </c>
    </row>
    <row r="9" spans="1:6" x14ac:dyDescent="0.25">
      <c r="A9" s="21" t="s">
        <v>37</v>
      </c>
      <c r="B9" s="9" t="s">
        <v>109</v>
      </c>
      <c r="C9" s="11" t="s">
        <v>10</v>
      </c>
      <c r="D9" s="9">
        <v>1.35</v>
      </c>
      <c r="E9" s="20">
        <v>19.5</v>
      </c>
      <c r="F9" s="20">
        <f t="shared" si="0"/>
        <v>26.325000000000003</v>
      </c>
    </row>
    <row r="10" spans="1:6" x14ac:dyDescent="0.25">
      <c r="A10" s="21" t="s">
        <v>38</v>
      </c>
      <c r="B10" s="9" t="s">
        <v>110</v>
      </c>
      <c r="C10" s="11" t="s">
        <v>150</v>
      </c>
      <c r="D10" s="9">
        <v>1</v>
      </c>
      <c r="E10" s="20">
        <v>104</v>
      </c>
      <c r="F10" s="20">
        <f t="shared" si="0"/>
        <v>104</v>
      </c>
    </row>
    <row r="11" spans="1:6" x14ac:dyDescent="0.25">
      <c r="A11" s="21" t="s">
        <v>39</v>
      </c>
      <c r="B11" s="9" t="s">
        <v>111</v>
      </c>
      <c r="C11" s="11" t="s">
        <v>10</v>
      </c>
      <c r="D11" s="9">
        <v>22.680000000000003</v>
      </c>
      <c r="E11" s="20">
        <v>36.4</v>
      </c>
      <c r="F11" s="20">
        <f t="shared" si="0"/>
        <v>825.55200000000013</v>
      </c>
    </row>
    <row r="12" spans="1:6" x14ac:dyDescent="0.25">
      <c r="A12" s="21" t="s">
        <v>41</v>
      </c>
      <c r="B12" s="9" t="s">
        <v>93</v>
      </c>
      <c r="C12" s="11" t="s">
        <v>10</v>
      </c>
      <c r="D12" s="9">
        <v>26.082000000000001</v>
      </c>
      <c r="E12" s="20">
        <v>39</v>
      </c>
      <c r="F12" s="20">
        <f t="shared" si="0"/>
        <v>1017.198</v>
      </c>
    </row>
    <row r="13" spans="1:6" x14ac:dyDescent="0.25">
      <c r="A13" s="21" t="s">
        <v>42</v>
      </c>
      <c r="B13" s="9" t="s">
        <v>112</v>
      </c>
      <c r="C13" s="11" t="s">
        <v>10</v>
      </c>
      <c r="D13" s="9">
        <v>26.082000000000001</v>
      </c>
      <c r="E13" s="20">
        <v>31.200000000000003</v>
      </c>
      <c r="F13" s="20">
        <f t="shared" si="0"/>
        <v>813.75840000000005</v>
      </c>
    </row>
    <row r="14" spans="1:6" x14ac:dyDescent="0.25">
      <c r="A14" s="21" t="s">
        <v>43</v>
      </c>
      <c r="B14" s="9" t="s">
        <v>95</v>
      </c>
      <c r="C14" s="11" t="s">
        <v>10</v>
      </c>
      <c r="D14" s="9">
        <v>1.35</v>
      </c>
      <c r="E14" s="20">
        <v>19.5</v>
      </c>
      <c r="F14" s="20">
        <f t="shared" si="0"/>
        <v>26.325000000000003</v>
      </c>
    </row>
    <row r="15" spans="1:6" x14ac:dyDescent="0.25">
      <c r="A15" s="21" t="s">
        <v>44</v>
      </c>
      <c r="B15" s="9" t="s">
        <v>113</v>
      </c>
      <c r="C15" s="11" t="s">
        <v>150</v>
      </c>
      <c r="D15" s="9">
        <v>1</v>
      </c>
      <c r="E15" s="20">
        <v>78</v>
      </c>
      <c r="F15" s="20">
        <f t="shared" si="0"/>
        <v>78</v>
      </c>
    </row>
    <row r="16" spans="1:6" x14ac:dyDescent="0.25">
      <c r="A16" s="22"/>
      <c r="B16" s="18" t="str">
        <f>+"SOUS.TOTAL " &amp; B5</f>
        <v xml:space="preserve">SOUS.TOTAL PLONGE </v>
      </c>
      <c r="C16" s="17"/>
      <c r="D16" s="16"/>
      <c r="E16" s="20">
        <v>0</v>
      </c>
      <c r="F16" s="24">
        <f>SUM(F6:F15)</f>
        <v>6211.7939000000006</v>
      </c>
    </row>
    <row r="17" spans="1:6" x14ac:dyDescent="0.25">
      <c r="A17" s="23">
        <v>2</v>
      </c>
      <c r="B17" s="19" t="s">
        <v>64</v>
      </c>
      <c r="C17" s="15"/>
      <c r="D17" s="14"/>
      <c r="E17" s="20">
        <v>0</v>
      </c>
      <c r="F17" s="20"/>
    </row>
    <row r="18" spans="1:6" x14ac:dyDescent="0.25">
      <c r="A18" s="23" t="s">
        <v>46</v>
      </c>
      <c r="B18" s="9" t="s">
        <v>114</v>
      </c>
      <c r="C18" s="15" t="s">
        <v>10</v>
      </c>
      <c r="D18" s="14">
        <v>24.3</v>
      </c>
      <c r="E18" s="20">
        <v>36.4</v>
      </c>
      <c r="F18" s="20">
        <f>+E18*D18</f>
        <v>884.52</v>
      </c>
    </row>
    <row r="19" spans="1:6" x14ac:dyDescent="0.25">
      <c r="A19" s="23" t="s">
        <v>86</v>
      </c>
      <c r="B19" s="9" t="s">
        <v>115</v>
      </c>
      <c r="C19" s="15" t="s">
        <v>10</v>
      </c>
      <c r="D19" s="14">
        <v>27.945</v>
      </c>
      <c r="E19" s="20">
        <v>39</v>
      </c>
      <c r="F19" s="20">
        <f>+E19*D19</f>
        <v>1089.855</v>
      </c>
    </row>
    <row r="20" spans="1:6" x14ac:dyDescent="0.25">
      <c r="A20" s="23" t="s">
        <v>87</v>
      </c>
      <c r="B20" s="9" t="s">
        <v>116</v>
      </c>
      <c r="C20" s="15" t="s">
        <v>10</v>
      </c>
      <c r="D20" s="14">
        <v>27.945</v>
      </c>
      <c r="E20" s="20">
        <v>31.200000000000003</v>
      </c>
      <c r="F20" s="20">
        <f>+E20*D20</f>
        <v>871.88400000000013</v>
      </c>
    </row>
    <row r="21" spans="1:6" x14ac:dyDescent="0.25">
      <c r="A21" s="23" t="s">
        <v>119</v>
      </c>
      <c r="B21" s="9" t="s">
        <v>117</v>
      </c>
      <c r="C21" s="15" t="s">
        <v>10</v>
      </c>
      <c r="D21" s="14">
        <v>8.1000000000000014</v>
      </c>
      <c r="E21" s="20">
        <v>19.5</v>
      </c>
      <c r="F21" s="20">
        <f>+E21*D21</f>
        <v>157.95000000000002</v>
      </c>
    </row>
    <row r="22" spans="1:6" x14ac:dyDescent="0.25">
      <c r="A22" s="23" t="s">
        <v>120</v>
      </c>
      <c r="B22" s="9" t="s">
        <v>118</v>
      </c>
      <c r="C22" s="15" t="s">
        <v>150</v>
      </c>
      <c r="D22" s="14">
        <v>1</v>
      </c>
      <c r="E22" s="20">
        <v>78</v>
      </c>
      <c r="F22" s="20">
        <f>+E22*D22</f>
        <v>78</v>
      </c>
    </row>
    <row r="23" spans="1:6" x14ac:dyDescent="0.25">
      <c r="A23" s="22"/>
      <c r="B23" s="18" t="str">
        <f>+"SOUS.TOTAL " &amp; B17</f>
        <v>SOUS.TOTAL CUISINE</v>
      </c>
      <c r="C23" s="17"/>
      <c r="D23" s="16"/>
      <c r="E23" s="20">
        <v>0</v>
      </c>
      <c r="F23" s="24">
        <f>SUM(F18:F22)</f>
        <v>3082.2089999999998</v>
      </c>
    </row>
    <row r="24" spans="1:6" x14ac:dyDescent="0.25">
      <c r="A24" s="21">
        <v>3</v>
      </c>
      <c r="B24" s="19" t="s">
        <v>66</v>
      </c>
      <c r="C24" s="11"/>
      <c r="D24" s="9"/>
      <c r="E24" s="20">
        <v>0</v>
      </c>
      <c r="F24" s="20"/>
    </row>
    <row r="25" spans="1:6" x14ac:dyDescent="0.25">
      <c r="A25" s="21" t="s">
        <v>47</v>
      </c>
      <c r="B25" s="9" t="s">
        <v>121</v>
      </c>
      <c r="C25" s="11" t="s">
        <v>3</v>
      </c>
      <c r="D25" s="9">
        <v>1</v>
      </c>
      <c r="E25" s="20">
        <v>1235</v>
      </c>
      <c r="F25" s="20">
        <f>+E25*D25</f>
        <v>1235</v>
      </c>
    </row>
    <row r="26" spans="1:6" x14ac:dyDescent="0.25">
      <c r="A26" s="21" t="s">
        <v>67</v>
      </c>
      <c r="B26" s="9" t="s">
        <v>115</v>
      </c>
      <c r="C26" s="11" t="s">
        <v>10</v>
      </c>
      <c r="D26" s="9">
        <v>25.650000000000002</v>
      </c>
      <c r="E26" s="20">
        <v>39</v>
      </c>
      <c r="F26" s="20">
        <f>+E26*D26</f>
        <v>1000.3500000000001</v>
      </c>
    </row>
    <row r="27" spans="1:6" x14ac:dyDescent="0.25">
      <c r="A27" s="21" t="s">
        <v>68</v>
      </c>
      <c r="B27" s="9" t="s">
        <v>116</v>
      </c>
      <c r="C27" s="11" t="s">
        <v>10</v>
      </c>
      <c r="D27" s="9">
        <v>25.650000000000002</v>
      </c>
      <c r="E27" s="20">
        <v>31.200000000000003</v>
      </c>
      <c r="F27" s="20">
        <f>+E27*D27</f>
        <v>800.28000000000009</v>
      </c>
    </row>
    <row r="28" spans="1:6" x14ac:dyDescent="0.25">
      <c r="A28" s="21" t="s">
        <v>97</v>
      </c>
      <c r="B28" s="9" t="s">
        <v>118</v>
      </c>
      <c r="C28" s="11" t="s">
        <v>150</v>
      </c>
      <c r="D28" s="9">
        <v>1</v>
      </c>
      <c r="E28" s="20">
        <v>104</v>
      </c>
      <c r="F28" s="20">
        <f>+E28*D28</f>
        <v>104</v>
      </c>
    </row>
    <row r="29" spans="1:6" x14ac:dyDescent="0.25">
      <c r="A29" s="22"/>
      <c r="B29" s="18" t="str">
        <f>+"SOUS.TOTAL " &amp; B24</f>
        <v>SOUS.TOTAL COULOIR 2</v>
      </c>
      <c r="C29" s="17"/>
      <c r="D29" s="16"/>
      <c r="E29" s="20">
        <v>0</v>
      </c>
      <c r="F29" s="24">
        <f>SUM(F25:F28)</f>
        <v>3139.6300000000006</v>
      </c>
    </row>
    <row r="30" spans="1:6" x14ac:dyDescent="0.25">
      <c r="A30" s="21">
        <v>4</v>
      </c>
      <c r="B30" s="19" t="s">
        <v>69</v>
      </c>
      <c r="C30" s="11"/>
      <c r="D30" s="9"/>
      <c r="E30" s="20">
        <v>0</v>
      </c>
      <c r="F30" s="20"/>
    </row>
    <row r="31" spans="1:6" x14ac:dyDescent="0.25">
      <c r="A31" s="21" t="s">
        <v>48</v>
      </c>
      <c r="B31" s="9" t="s">
        <v>88</v>
      </c>
      <c r="C31" s="11" t="s">
        <v>3</v>
      </c>
      <c r="D31" s="9">
        <v>1</v>
      </c>
      <c r="E31" s="20">
        <v>442</v>
      </c>
      <c r="F31" s="20">
        <f t="shared" ref="F31:F37" si="1">+E31*D31</f>
        <v>442</v>
      </c>
    </row>
    <row r="32" spans="1:6" x14ac:dyDescent="0.25">
      <c r="A32" s="21" t="s">
        <v>49</v>
      </c>
      <c r="B32" s="9" t="s">
        <v>114</v>
      </c>
      <c r="C32" s="11" t="s">
        <v>10</v>
      </c>
      <c r="D32" s="9">
        <v>29.700000000000003</v>
      </c>
      <c r="E32" s="20">
        <v>36.4</v>
      </c>
      <c r="F32" s="20">
        <f t="shared" si="1"/>
        <v>1081.0800000000002</v>
      </c>
    </row>
    <row r="33" spans="1:6" x14ac:dyDescent="0.25">
      <c r="A33" s="21" t="s">
        <v>51</v>
      </c>
      <c r="B33" s="9" t="s">
        <v>115</v>
      </c>
      <c r="C33" s="11" t="s">
        <v>10</v>
      </c>
      <c r="D33" s="9">
        <v>34.155000000000001</v>
      </c>
      <c r="E33" s="20">
        <v>39</v>
      </c>
      <c r="F33" s="20">
        <f t="shared" si="1"/>
        <v>1332.0450000000001</v>
      </c>
    </row>
    <row r="34" spans="1:6" x14ac:dyDescent="0.25">
      <c r="A34" s="21" t="s">
        <v>134</v>
      </c>
      <c r="B34" s="9" t="s">
        <v>116</v>
      </c>
      <c r="C34" s="11" t="s">
        <v>10</v>
      </c>
      <c r="D34" s="9">
        <v>34.155000000000001</v>
      </c>
      <c r="E34" s="20">
        <v>31.200000000000003</v>
      </c>
      <c r="F34" s="20">
        <f t="shared" si="1"/>
        <v>1065.6360000000002</v>
      </c>
    </row>
    <row r="35" spans="1:6" x14ac:dyDescent="0.25">
      <c r="A35" s="21" t="s">
        <v>135</v>
      </c>
      <c r="B35" s="9" t="s">
        <v>117</v>
      </c>
      <c r="C35" s="11" t="s">
        <v>10</v>
      </c>
      <c r="D35" s="9">
        <v>9.4500000000000011</v>
      </c>
      <c r="E35" s="20">
        <v>19.5</v>
      </c>
      <c r="F35" s="20">
        <f t="shared" si="1"/>
        <v>184.27500000000003</v>
      </c>
    </row>
    <row r="36" spans="1:6" x14ac:dyDescent="0.25">
      <c r="A36" s="21" t="s">
        <v>136</v>
      </c>
      <c r="B36" s="9" t="s">
        <v>118</v>
      </c>
      <c r="C36" s="11" t="s">
        <v>150</v>
      </c>
      <c r="D36" s="9">
        <v>1</v>
      </c>
      <c r="E36" s="20">
        <v>78</v>
      </c>
      <c r="F36" s="20">
        <f t="shared" si="1"/>
        <v>78</v>
      </c>
    </row>
    <row r="37" spans="1:6" x14ac:dyDescent="0.25">
      <c r="A37" s="21" t="s">
        <v>137</v>
      </c>
      <c r="B37" s="9" t="s">
        <v>122</v>
      </c>
      <c r="C37" s="11" t="s">
        <v>10</v>
      </c>
      <c r="D37" s="9">
        <v>9.4500000000000011</v>
      </c>
      <c r="E37" s="20">
        <v>19.5</v>
      </c>
      <c r="F37" s="20">
        <f t="shared" si="1"/>
        <v>184.27500000000003</v>
      </c>
    </row>
    <row r="38" spans="1:6" x14ac:dyDescent="0.25">
      <c r="A38" s="22"/>
      <c r="B38" s="18" t="str">
        <f>+"SOUS.TOTAL " &amp; B30</f>
        <v>SOUS.TOTAL BAR</v>
      </c>
      <c r="C38" s="17"/>
      <c r="D38" s="16"/>
      <c r="E38" s="20">
        <v>0</v>
      </c>
      <c r="F38" s="24">
        <f>SUM(F31:F37)</f>
        <v>4367.3109999999997</v>
      </c>
    </row>
    <row r="39" spans="1:6" x14ac:dyDescent="0.25">
      <c r="A39" s="21">
        <v>5</v>
      </c>
      <c r="B39" s="19" t="s">
        <v>70</v>
      </c>
      <c r="C39" s="11"/>
      <c r="D39" s="9"/>
      <c r="E39" s="20">
        <v>0</v>
      </c>
      <c r="F39" s="20"/>
    </row>
    <row r="40" spans="1:6" x14ac:dyDescent="0.25">
      <c r="A40" s="21" t="s">
        <v>52</v>
      </c>
      <c r="B40" s="19" t="s">
        <v>128</v>
      </c>
      <c r="C40" s="11"/>
      <c r="D40" s="9"/>
      <c r="E40" s="20">
        <v>0</v>
      </c>
      <c r="F40" s="20"/>
    </row>
    <row r="41" spans="1:6" x14ac:dyDescent="0.25">
      <c r="A41" s="21" t="s">
        <v>53</v>
      </c>
      <c r="B41" s="9" t="s">
        <v>123</v>
      </c>
      <c r="C41" s="11" t="s">
        <v>3</v>
      </c>
      <c r="D41" s="9">
        <v>1</v>
      </c>
      <c r="E41" s="20">
        <v>286</v>
      </c>
      <c r="F41" s="20">
        <f t="shared" ref="F41:F47" si="2">+E41*D41</f>
        <v>286</v>
      </c>
    </row>
    <row r="42" spans="1:6" x14ac:dyDescent="0.25">
      <c r="A42" s="21" t="s">
        <v>60</v>
      </c>
      <c r="B42" s="9" t="s">
        <v>124</v>
      </c>
      <c r="C42" s="11" t="s">
        <v>3</v>
      </c>
      <c r="D42" s="9">
        <v>1</v>
      </c>
      <c r="E42" s="20">
        <v>71.5</v>
      </c>
      <c r="F42" s="20">
        <f t="shared" si="2"/>
        <v>71.5</v>
      </c>
    </row>
    <row r="43" spans="1:6" x14ac:dyDescent="0.25">
      <c r="A43" s="21" t="s">
        <v>138</v>
      </c>
      <c r="B43" s="9" t="s">
        <v>125</v>
      </c>
      <c r="C43" s="11" t="s">
        <v>3</v>
      </c>
      <c r="D43" s="9">
        <v>1</v>
      </c>
      <c r="E43" s="20">
        <v>91</v>
      </c>
      <c r="F43" s="20">
        <f t="shared" si="2"/>
        <v>91</v>
      </c>
    </row>
    <row r="44" spans="1:6" x14ac:dyDescent="0.25">
      <c r="A44" s="21" t="s">
        <v>139</v>
      </c>
      <c r="B44" s="9" t="s">
        <v>129</v>
      </c>
      <c r="C44" s="11" t="s">
        <v>3</v>
      </c>
      <c r="D44" s="9">
        <v>1</v>
      </c>
      <c r="E44" s="20">
        <v>715</v>
      </c>
      <c r="F44" s="20">
        <f t="shared" si="2"/>
        <v>715</v>
      </c>
    </row>
    <row r="45" spans="1:6" x14ac:dyDescent="0.25">
      <c r="A45" s="21" t="s">
        <v>140</v>
      </c>
      <c r="B45" s="9" t="s">
        <v>130</v>
      </c>
      <c r="C45" s="11" t="s">
        <v>3</v>
      </c>
      <c r="D45" s="9">
        <v>1</v>
      </c>
      <c r="E45" s="20">
        <v>130</v>
      </c>
      <c r="F45" s="20">
        <f t="shared" si="2"/>
        <v>130</v>
      </c>
    </row>
    <row r="46" spans="1:6" x14ac:dyDescent="0.25">
      <c r="A46" s="21" t="s">
        <v>141</v>
      </c>
      <c r="B46" s="9" t="s">
        <v>131</v>
      </c>
      <c r="C46" s="11" t="s">
        <v>3</v>
      </c>
      <c r="D46" s="9">
        <v>1</v>
      </c>
      <c r="E46" s="20">
        <v>195</v>
      </c>
      <c r="F46" s="20">
        <f t="shared" si="2"/>
        <v>195</v>
      </c>
    </row>
    <row r="47" spans="1:6" x14ac:dyDescent="0.25">
      <c r="A47" s="21" t="s">
        <v>142</v>
      </c>
      <c r="B47" s="9" t="s">
        <v>71</v>
      </c>
      <c r="C47" s="11" t="s">
        <v>3</v>
      </c>
      <c r="D47" s="9">
        <v>1</v>
      </c>
      <c r="E47" s="20">
        <v>91</v>
      </c>
      <c r="F47" s="20">
        <f t="shared" si="2"/>
        <v>91</v>
      </c>
    </row>
    <row r="48" spans="1:6" x14ac:dyDescent="0.25">
      <c r="A48" s="21" t="s">
        <v>143</v>
      </c>
      <c r="B48" s="19" t="s">
        <v>127</v>
      </c>
      <c r="C48" s="11"/>
      <c r="D48" s="9"/>
      <c r="E48" s="20">
        <v>0</v>
      </c>
      <c r="F48" s="20"/>
    </row>
    <row r="49" spans="1:6" x14ac:dyDescent="0.25">
      <c r="A49" s="21" t="s">
        <v>144</v>
      </c>
      <c r="B49" s="9" t="s">
        <v>126</v>
      </c>
      <c r="C49" s="11" t="s">
        <v>3</v>
      </c>
      <c r="D49" s="9">
        <v>1</v>
      </c>
      <c r="E49" s="20">
        <v>195</v>
      </c>
      <c r="F49" s="20">
        <f>+E49*D49</f>
        <v>195</v>
      </c>
    </row>
    <row r="50" spans="1:6" x14ac:dyDescent="0.25">
      <c r="A50" s="21" t="s">
        <v>145</v>
      </c>
      <c r="B50" s="9" t="s">
        <v>124</v>
      </c>
      <c r="C50" s="11" t="s">
        <v>3</v>
      </c>
      <c r="D50" s="9">
        <v>1</v>
      </c>
      <c r="E50" s="20">
        <v>71.5</v>
      </c>
      <c r="F50" s="20">
        <f>+E50*D50</f>
        <v>71.5</v>
      </c>
    </row>
    <row r="51" spans="1:6" x14ac:dyDescent="0.25">
      <c r="A51" s="21" t="s">
        <v>146</v>
      </c>
      <c r="B51" s="9" t="s">
        <v>125</v>
      </c>
      <c r="C51" s="11" t="s">
        <v>3</v>
      </c>
      <c r="D51" s="9">
        <v>1</v>
      </c>
      <c r="E51" s="20">
        <v>91</v>
      </c>
      <c r="F51" s="20">
        <f>+E51*D51</f>
        <v>91</v>
      </c>
    </row>
    <row r="52" spans="1:6" x14ac:dyDescent="0.25">
      <c r="A52" s="21" t="s">
        <v>147</v>
      </c>
      <c r="B52" s="9" t="s">
        <v>132</v>
      </c>
      <c r="C52" s="11" t="s">
        <v>3</v>
      </c>
      <c r="D52" s="9">
        <v>1</v>
      </c>
      <c r="E52" s="20">
        <v>546</v>
      </c>
      <c r="F52" s="20">
        <f>+E52*D52</f>
        <v>546</v>
      </c>
    </row>
    <row r="53" spans="1:6" x14ac:dyDescent="0.25">
      <c r="A53" s="21" t="s">
        <v>148</v>
      </c>
      <c r="B53" s="9" t="s">
        <v>71</v>
      </c>
      <c r="C53" s="11" t="s">
        <v>3</v>
      </c>
      <c r="D53" s="9">
        <v>1</v>
      </c>
      <c r="E53" s="20">
        <v>91</v>
      </c>
      <c r="F53" s="20">
        <f>+E53*D53</f>
        <v>91</v>
      </c>
    </row>
    <row r="54" spans="1:6" x14ac:dyDescent="0.25">
      <c r="A54" s="22"/>
      <c r="B54" s="18" t="str">
        <f>+"SOUS.TOTAL " &amp; B39</f>
        <v>SOUS.TOTAL SANITAIRES</v>
      </c>
      <c r="C54" s="17"/>
      <c r="D54" s="16"/>
      <c r="E54" s="20">
        <v>0</v>
      </c>
      <c r="F54" s="24">
        <f>SUM(F41:F53)</f>
        <v>2574</v>
      </c>
    </row>
    <row r="55" spans="1:6" x14ac:dyDescent="0.25">
      <c r="A55" s="21">
        <v>6</v>
      </c>
      <c r="B55" s="19" t="s">
        <v>133</v>
      </c>
      <c r="C55" s="11"/>
      <c r="D55" s="9"/>
      <c r="E55" s="20">
        <v>0</v>
      </c>
      <c r="F55" s="20"/>
    </row>
    <row r="56" spans="1:6" x14ac:dyDescent="0.25">
      <c r="A56" s="21" t="s">
        <v>54</v>
      </c>
      <c r="B56" s="9" t="s">
        <v>73</v>
      </c>
      <c r="C56" s="11" t="s">
        <v>3</v>
      </c>
      <c r="D56" s="9">
        <v>1</v>
      </c>
      <c r="E56" s="20">
        <v>195</v>
      </c>
      <c r="F56" s="20">
        <f>+E56*D56</f>
        <v>195</v>
      </c>
    </row>
    <row r="57" spans="1:6" ht="15.75" thickBot="1" x14ac:dyDescent="0.3">
      <c r="A57" s="22"/>
      <c r="B57" s="18" t="str">
        <f>+"SOUS.TOTAL " &amp; B55</f>
        <v xml:space="preserve">SOUS.TOTAL TRAVAUX EXTÉRIEURS </v>
      </c>
      <c r="C57" s="17"/>
      <c r="D57" s="16"/>
      <c r="E57" s="20">
        <v>0</v>
      </c>
      <c r="F57" s="24">
        <f>SUM(F56)</f>
        <v>195</v>
      </c>
    </row>
    <row r="58" spans="1:6" ht="15.75" thickBot="1" x14ac:dyDescent="0.3">
      <c r="A58" s="26"/>
      <c r="B58" s="27"/>
      <c r="C58" s="28"/>
      <c r="D58" s="29"/>
      <c r="E58" s="30" t="s">
        <v>152</v>
      </c>
      <c r="F58" s="31">
        <f>SUM(F6:F57)/2</f>
        <v>19569.943900000002</v>
      </c>
    </row>
    <row r="59" spans="1:6" ht="15.75" thickBot="1" x14ac:dyDescent="0.3">
      <c r="A59" s="26"/>
      <c r="B59" s="27"/>
      <c r="C59" s="28"/>
      <c r="D59" s="29"/>
      <c r="E59" s="30" t="s">
        <v>153</v>
      </c>
      <c r="F59" s="31">
        <f>+F58*0.2</f>
        <v>3913.9887800000006</v>
      </c>
    </row>
    <row r="60" spans="1:6" ht="15.75" thickBot="1" x14ac:dyDescent="0.3">
      <c r="A60" s="26"/>
      <c r="B60" s="27"/>
      <c r="C60" s="28"/>
      <c r="D60" s="29"/>
      <c r="E60" s="30" t="s">
        <v>154</v>
      </c>
      <c r="F60" s="31">
        <f>SUM(F58:F59)</f>
        <v>23483.932680000002</v>
      </c>
    </row>
  </sheetData>
  <mergeCells count="3">
    <mergeCell ref="A1:F1"/>
    <mergeCell ref="A2:F2"/>
    <mergeCell ref="A3:F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LOT 6- INSTALLATION GENERALE</vt:lpstr>
      <vt:lpstr>LOT 6- LOGEMENT </vt:lpstr>
      <vt:lpstr>LOT 6- RESTAURANT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Haingt</dc:creator>
  <cp:lastModifiedBy>Bertille Goudier</cp:lastModifiedBy>
  <dcterms:created xsi:type="dcterms:W3CDTF">2026-03-05T12:16:02Z</dcterms:created>
  <dcterms:modified xsi:type="dcterms:W3CDTF">2026-03-06T13:20:22Z</dcterms:modified>
</cp:coreProperties>
</file>