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ti\Documents\AO\EN COURS\VILOGIA MARSEILLE\DOSSIER REPONSE MARSEILLE\OFFRE\"/>
    </mc:Choice>
  </mc:AlternateContent>
  <xr:revisionPtr revIDLastSave="0" documentId="13_ncr:1_{40828138-47DD-4029-8FD5-6C271A75D478}" xr6:coauthVersionLast="47" xr6:coauthVersionMax="47" xr10:uidLastSave="{00000000-0000-0000-0000-000000000000}"/>
  <bookViews>
    <workbookView xWindow="-28920" yWindow="-8190" windowWidth="29040" windowHeight="15720" xr2:uid="{00000000-000D-0000-FFFF-FFFF00000000}"/>
  </bookViews>
  <sheets>
    <sheet name="Lot N°03 MACROLOT - SECOND OEUV" sheetId="3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24" i="3" l="1"/>
  <c r="G471" i="3"/>
  <c r="G465" i="3"/>
  <c r="G462" i="3"/>
  <c r="G461" i="3"/>
  <c r="G460" i="3"/>
  <c r="G459" i="3"/>
  <c r="G458" i="3"/>
  <c r="G457" i="3"/>
  <c r="G456" i="3"/>
  <c r="G449" i="3"/>
  <c r="G448" i="3"/>
  <c r="G447" i="3"/>
  <c r="G446" i="3"/>
  <c r="G445" i="3"/>
  <c r="G444" i="3"/>
  <c r="G443" i="3"/>
  <c r="G442" i="3"/>
  <c r="G440" i="3"/>
  <c r="G431" i="3"/>
  <c r="G430" i="3"/>
  <c r="G429" i="3"/>
  <c r="G427" i="3"/>
  <c r="G424" i="3"/>
  <c r="G423" i="3"/>
  <c r="G418" i="3"/>
  <c r="G416" i="3"/>
  <c r="G413" i="3"/>
  <c r="G412" i="3"/>
  <c r="G410" i="3"/>
  <c r="G408" i="3"/>
  <c r="G402" i="3"/>
  <c r="G397" i="3"/>
  <c r="G390" i="3"/>
  <c r="G389" i="3"/>
  <c r="G388" i="3"/>
  <c r="G381" i="3"/>
  <c r="G375" i="3"/>
  <c r="G374" i="3"/>
  <c r="G371" i="3"/>
  <c r="G366" i="3"/>
  <c r="G363" i="3"/>
  <c r="G361" i="3"/>
  <c r="G360" i="3"/>
  <c r="G353" i="3"/>
  <c r="G347" i="3"/>
  <c r="G337" i="3"/>
  <c r="G336" i="3"/>
  <c r="G321" i="3"/>
  <c r="G317" i="3"/>
  <c r="G316" i="3"/>
  <c r="G314" i="3"/>
  <c r="G312" i="3"/>
  <c r="G310" i="3"/>
  <c r="G309" i="3"/>
  <c r="G308" i="3"/>
  <c r="G302" i="3"/>
  <c r="G298" i="3"/>
  <c r="G297" i="3"/>
  <c r="G296" i="3"/>
  <c r="G295" i="3"/>
  <c r="G294" i="3"/>
  <c r="G290" i="3"/>
  <c r="G281" i="3"/>
  <c r="G280" i="3"/>
  <c r="G279" i="3"/>
  <c r="G274" i="3"/>
  <c r="G273" i="3"/>
  <c r="G264" i="3"/>
  <c r="G263" i="3"/>
  <c r="G260" i="3"/>
  <c r="G259" i="3"/>
  <c r="G256" i="3"/>
  <c r="G255" i="3"/>
  <c r="G254" i="3"/>
  <c r="G253" i="3"/>
  <c r="G252" i="3"/>
  <c r="G251" i="3"/>
  <c r="G250" i="3"/>
  <c r="G249" i="3"/>
  <c r="G246" i="3"/>
  <c r="G245" i="3"/>
  <c r="G244" i="3"/>
  <c r="G243" i="3"/>
  <c r="G242" i="3"/>
  <c r="G239" i="3"/>
  <c r="G237" i="3"/>
  <c r="G236" i="3"/>
  <c r="G233" i="3"/>
  <c r="G232" i="3"/>
  <c r="G226" i="3"/>
  <c r="G223" i="3"/>
  <c r="G222" i="3"/>
  <c r="G215" i="3"/>
  <c r="G214" i="3"/>
  <c r="G210" i="3"/>
  <c r="G209" i="3"/>
  <c r="G203" i="3"/>
  <c r="G200" i="3"/>
  <c r="G197" i="3"/>
  <c r="G193" i="3"/>
  <c r="G192" i="3"/>
  <c r="G188" i="3"/>
  <c r="G187" i="3"/>
  <c r="G182" i="3"/>
  <c r="G181" i="3"/>
  <c r="G177" i="3"/>
  <c r="G174" i="3"/>
  <c r="G168" i="3"/>
  <c r="G167" i="3"/>
  <c r="G166" i="3"/>
  <c r="G157" i="3"/>
  <c r="G156" i="3"/>
  <c r="B145" i="3"/>
  <c r="G142" i="3"/>
  <c r="G141" i="3"/>
  <c r="G139" i="3"/>
  <c r="G137" i="3"/>
  <c r="G136" i="3"/>
  <c r="G135" i="3"/>
  <c r="G133" i="3"/>
  <c r="G131" i="3"/>
  <c r="G130" i="3"/>
  <c r="G129" i="3"/>
  <c r="G127" i="3"/>
  <c r="G126" i="3"/>
  <c r="G125" i="3"/>
  <c r="G124" i="3"/>
  <c r="G123" i="3"/>
  <c r="G121" i="3"/>
  <c r="G120" i="3"/>
  <c r="G116" i="3"/>
  <c r="G115" i="3"/>
  <c r="G114" i="3"/>
  <c r="G113" i="3"/>
  <c r="G111" i="3"/>
  <c r="G110" i="3"/>
  <c r="G108" i="3"/>
  <c r="G107" i="3"/>
  <c r="G105" i="3"/>
  <c r="G104" i="3"/>
  <c r="G103" i="3"/>
  <c r="G102" i="3"/>
  <c r="G101" i="3"/>
  <c r="G100" i="3"/>
  <c r="G98" i="3"/>
  <c r="G97" i="3"/>
  <c r="G96" i="3"/>
  <c r="G95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2" i="3"/>
  <c r="G71" i="3"/>
  <c r="G69" i="3"/>
  <c r="G68" i="3"/>
  <c r="G66" i="3"/>
  <c r="G65" i="3"/>
  <c r="G64" i="3"/>
  <c r="G63" i="3"/>
  <c r="G62" i="3"/>
  <c r="G61" i="3"/>
  <c r="G60" i="3"/>
  <c r="G58" i="3"/>
  <c r="G57" i="3"/>
  <c r="G56" i="3"/>
  <c r="G55" i="3"/>
  <c r="G54" i="3"/>
  <c r="G53" i="3"/>
  <c r="G52" i="3"/>
  <c r="G51" i="3"/>
  <c r="G50" i="3"/>
  <c r="G49" i="3"/>
  <c r="G48" i="3"/>
  <c r="G46" i="3"/>
  <c r="G45" i="3"/>
  <c r="G44" i="3"/>
  <c r="G43" i="3"/>
  <c r="G42" i="3"/>
  <c r="G41" i="3"/>
  <c r="G40" i="3"/>
  <c r="G39" i="3"/>
  <c r="G38" i="3"/>
  <c r="G33" i="3"/>
  <c r="G32" i="3"/>
  <c r="G31" i="3"/>
  <c r="G30" i="3"/>
  <c r="G28" i="3"/>
  <c r="G27" i="3"/>
  <c r="G26" i="3"/>
  <c r="G25" i="3"/>
  <c r="G24" i="3"/>
  <c r="G23" i="3"/>
  <c r="G22" i="3"/>
  <c r="G21" i="3"/>
  <c r="G19" i="3"/>
  <c r="G18" i="3"/>
  <c r="G17" i="3"/>
  <c r="G15" i="3"/>
  <c r="G14" i="3"/>
  <c r="G144" i="3" s="1"/>
  <c r="G13" i="3"/>
  <c r="G8" i="3"/>
  <c r="G7" i="3"/>
  <c r="G6" i="3"/>
  <c r="G474" i="3" l="1"/>
  <c r="G477" i="3" s="1"/>
  <c r="G480" i="3" s="1"/>
  <c r="G325" i="3"/>
  <c r="G326" i="3" s="1"/>
  <c r="G145" i="3"/>
  <c r="G146" i="3" s="1"/>
</calcChain>
</file>

<file path=xl/sharedStrings.xml><?xml version="1.0" encoding="utf-8"?>
<sst xmlns="http://schemas.openxmlformats.org/spreadsheetml/2006/main" count="1149" uniqueCount="731">
  <si>
    <t>ml</t>
  </si>
  <si>
    <t>Ens</t>
  </si>
  <si>
    <t>GENERALITES</t>
  </si>
  <si>
    <t>PRESENTATION DU PROJET</t>
  </si>
  <si>
    <t>PM</t>
  </si>
  <si>
    <t>CERTIFICATION</t>
  </si>
  <si>
    <t>ETANCHEITE A L'AIR</t>
  </si>
  <si>
    <t>ETENDUE DES TRAVAUX</t>
  </si>
  <si>
    <t>OBLIGATIONS DE L’ENTREPRENEUR</t>
  </si>
  <si>
    <t>ETUDES ET DOCUMENTS A FOURNIR</t>
  </si>
  <si>
    <t>CONTROLES - ESSAIS ET RECEPTION</t>
  </si>
  <si>
    <t>GARANTIES</t>
  </si>
  <si>
    <t>u</t>
  </si>
  <si>
    <t>SO</t>
  </si>
  <si>
    <t>VMC - PLOMBERIE SANITAIRE</t>
  </si>
  <si>
    <t>3.2.1</t>
  </si>
  <si>
    <t>3.2.1.1</t>
  </si>
  <si>
    <t>3.2.1.2</t>
  </si>
  <si>
    <t>3.2.1.3</t>
  </si>
  <si>
    <t>3.2.1.4</t>
  </si>
  <si>
    <t>3.2.1.5</t>
  </si>
  <si>
    <t>LIMITES DE PRESTATIONS</t>
  </si>
  <si>
    <t>3.2.1.6</t>
  </si>
  <si>
    <t>3.2.1.7</t>
  </si>
  <si>
    <t>3.2.1.8</t>
  </si>
  <si>
    <t>3.2.1.9</t>
  </si>
  <si>
    <t>3.2.2</t>
  </si>
  <si>
    <t>EXIGENCES</t>
  </si>
  <si>
    <t>3.2.3</t>
  </si>
  <si>
    <t>SPECIFICATIONS TECHNIQUES</t>
  </si>
  <si>
    <t>3.2.4</t>
  </si>
  <si>
    <t>DESCRIPTION DES OUVRAGES EN VMC</t>
  </si>
  <si>
    <t>3.2.4.1</t>
  </si>
  <si>
    <t>ENTREES D'AIR</t>
  </si>
  <si>
    <t>Entrée d'air autoréglable acoustiques dito CCTP</t>
  </si>
  <si>
    <t>Fourniture et pose au présent lot</t>
  </si>
  <si>
    <t>3.2.4.2</t>
  </si>
  <si>
    <t>ENTREES D'AIR MURALES</t>
  </si>
  <si>
    <t>3.2.4.3</t>
  </si>
  <si>
    <t>BOUCHES D'EXTRACTION</t>
  </si>
  <si>
    <t>Bouches VMC hygroréglable acoustiques type BAHIA ALDES ou techniquement équivalent</t>
  </si>
  <si>
    <t>y compris manchette de raccordement et raccordement aux conduits, commande pour les bouches cuisine</t>
  </si>
  <si>
    <t>3.2.4.4</t>
  </si>
  <si>
    <t>TRANSIT ENTRE LES PIECES</t>
  </si>
  <si>
    <t>3.2.4.5</t>
  </si>
  <si>
    <t>CONDUITS D'EXTRACTION</t>
  </si>
  <si>
    <t>Gaines VMC en acier galva acoustique, compris supportage et toutes sujétions dito CCTP</t>
  </si>
  <si>
    <t>Circulaire Ø100 à Ø160</t>
  </si>
  <si>
    <t>Circulaire Ø160 à Ø315</t>
  </si>
  <si>
    <t>Pièges à son dito CCTP</t>
  </si>
  <si>
    <t>3.2.4.6</t>
  </si>
  <si>
    <t>CAISSON D'EXTRACTION</t>
  </si>
  <si>
    <t>Caisson Extraction pour les chauffe-eau thermodynamiques dito CCTP</t>
  </si>
  <si>
    <t>3.2.4.7</t>
  </si>
  <si>
    <t>SORTIES DE TOITURE</t>
  </si>
  <si>
    <t>Raccordement sur sorties en toiture</t>
  </si>
  <si>
    <t>3.2.4.8</t>
  </si>
  <si>
    <t>ESSAIS</t>
  </si>
  <si>
    <t>3.2.4.9</t>
  </si>
  <si>
    <t>EXTRACTION MECANIQUE LOCAUX COMMUNS</t>
  </si>
  <si>
    <t>Caisson Extraction des parties communes dito CCTP</t>
  </si>
  <si>
    <t>Bouches auto-réglables</t>
  </si>
  <si>
    <t>Gaines VMC en acier galva</t>
  </si>
  <si>
    <t>Comptabilisé dans le §8.5</t>
  </si>
  <si>
    <t>3.2.5</t>
  </si>
  <si>
    <t>DESCRIPTION DES OUVRAGES EN PLOMBERIE - SANITAIRE</t>
  </si>
  <si>
    <t>3.2.5.1</t>
  </si>
  <si>
    <t>INSTALLATION DE CHANTIER</t>
  </si>
  <si>
    <t>Installation de chantier Dito CCTP</t>
  </si>
  <si>
    <t>3.2.5.2</t>
  </si>
  <si>
    <t>BASE DE DIMENSIONNEMENT DES INSTALLATIONS</t>
  </si>
  <si>
    <t>3.2.5.3</t>
  </si>
  <si>
    <t>ALIMENTATION ET DISTRIBUTION D'EAU FROIDE</t>
  </si>
  <si>
    <t>3.2.5.3.1</t>
  </si>
  <si>
    <t>Origine de l'installation</t>
  </si>
  <si>
    <t>Raccordement sur attente PEHD</t>
  </si>
  <si>
    <t>Conduite d'immeuble jusqu'au placard AEP pour l'ilot 2</t>
  </si>
  <si>
    <t>Vannes pieds de colonnes</t>
  </si>
  <si>
    <t>Comptage EF</t>
  </si>
  <si>
    <t>Compteur volumtériques EF</t>
  </si>
  <si>
    <t>3.2.5.3.2</t>
  </si>
  <si>
    <t>Colonne montante</t>
  </si>
  <si>
    <t>Par logement et communs :</t>
  </si>
  <si>
    <t>Manchettes compteurs EF + vannes + clapet + etc…</t>
  </si>
  <si>
    <t>Conforme aux prescriptions concessionnaire</t>
  </si>
  <si>
    <t>3.2.5.3.3</t>
  </si>
  <si>
    <t>Piquages individuels</t>
  </si>
  <si>
    <t>Tuyauterie piquage individuel depuis gaines palières RDC jusqu'aux logements</t>
  </si>
  <si>
    <t>Canalisation en PVC pression calorifugée</t>
  </si>
  <si>
    <t>Compris robinets d'arrêts, purges, vidange, antibéliers, …</t>
  </si>
  <si>
    <t>3.2.5.3.4</t>
  </si>
  <si>
    <t>Distributions intérieures</t>
  </si>
  <si>
    <t>a-</t>
  </si>
  <si>
    <t>Depuis gaine palières vers logements:</t>
  </si>
  <si>
    <t>Par logement</t>
  </si>
  <si>
    <t xml:space="preserve"> - Canalisation tube PER pré-fourreauté ou multi-couche depuis la gaine jusque dans chaque logement</t>
  </si>
  <si>
    <t>Dans les logements:</t>
  </si>
  <si>
    <t xml:space="preserve">  - Clarinette de distribution avec vanne 1/4 de tour générale et sur chacun des départs</t>
  </si>
  <si>
    <t>Distributions intérieures en tubes PER préfourreautés:</t>
  </si>
  <si>
    <t xml:space="preserve">  - T2</t>
  </si>
  <si>
    <t xml:space="preserve">  - T3</t>
  </si>
  <si>
    <t>Compris raccordement des appareils sanitaires en tubes multicouches + flexible</t>
  </si>
  <si>
    <t>b-</t>
  </si>
  <si>
    <t>Pour le local ménage</t>
  </si>
  <si>
    <t xml:space="preserve"> - Canalisation tube PER pré-fourreauté ou multi-couche depuis la gaine jusqu'à chaque point de puisage</t>
  </si>
  <si>
    <t>3.2.5.3.5</t>
  </si>
  <si>
    <t>Analyse et rinçage</t>
  </si>
  <si>
    <t>3.2.5.4</t>
  </si>
  <si>
    <t>PRODUCTION ET DISTRIBUTION D'ECS</t>
  </si>
  <si>
    <t>3.2.5.4.1</t>
  </si>
  <si>
    <t xml:space="preserve"> - Chauffe-eau thermodynamique sur air extrait dans chaque logement dito CCTP</t>
  </si>
  <si>
    <t xml:space="preserve"> - Chauffe-eau 15L local ménage</t>
  </si>
  <si>
    <t>3.2.5.4.2</t>
  </si>
  <si>
    <t>Distribution intérieure</t>
  </si>
  <si>
    <t>Fourniture et pose d'une clarinette ECS par logement</t>
  </si>
  <si>
    <t>Compris toutes robinetterie et pièces de raccord au droit des appareils sanitaires</t>
  </si>
  <si>
    <t>Distribution dans local ménage</t>
  </si>
  <si>
    <t>3.2.5.5</t>
  </si>
  <si>
    <t>EVACUATIONS EU/EV</t>
  </si>
  <si>
    <t>3.2.5.5.1</t>
  </si>
  <si>
    <t>Etendue des travaux de l'entreprise</t>
  </si>
  <si>
    <t>3.2.5.5.2</t>
  </si>
  <si>
    <t>Canalisations principales d'évacuations EU/EV</t>
  </si>
  <si>
    <t>Collecteurs horizontaux</t>
  </si>
  <si>
    <t>DN 100 à 125</t>
  </si>
  <si>
    <t>Chutes verticales en PVC M1 dito CCTP</t>
  </si>
  <si>
    <t>DN 100</t>
  </si>
  <si>
    <t>Ventilations primaires en PVC M1 dito CCTP</t>
  </si>
  <si>
    <t xml:space="preserve">Réalisation des sorties de toitures pour VP </t>
  </si>
  <si>
    <t xml:space="preserve">Raccordements aux appareils </t>
  </si>
  <si>
    <t>Raccordement des appareils sanitaires : WC, douches, lavabos, éviers, …</t>
  </si>
  <si>
    <t>3.2.5.6</t>
  </si>
  <si>
    <t>APPAREILS SANITAIRES - ROBINETTERIE</t>
  </si>
  <si>
    <t>3.2.5.6.1</t>
  </si>
  <si>
    <t>Robinetterie</t>
  </si>
  <si>
    <t>3.2.5.6.2</t>
  </si>
  <si>
    <t>Appareils sanitaires</t>
  </si>
  <si>
    <t>Repère A - WC sur pied</t>
  </si>
  <si>
    <t>Repère B - Lavabo sur meuble</t>
  </si>
  <si>
    <t>Repère C - Ensemble de douche + receveur ultraplat sur plots + pare-douche fixe</t>
  </si>
  <si>
    <t>Repère D - Meuble évier + évier</t>
  </si>
  <si>
    <t>Repère E - Attentes machines à laver et lave linge</t>
  </si>
  <si>
    <t>Repère F - Lave-main</t>
  </si>
  <si>
    <t>Repère G - Vidoir</t>
  </si>
  <si>
    <t>3.2.5.7</t>
  </si>
  <si>
    <t>RECUPERATEUR DE CHALEUR SUR EAUX GRISES</t>
  </si>
  <si>
    <t>Récupérateur de chaleur sous douche</t>
  </si>
  <si>
    <t>3.2.5.8</t>
  </si>
  <si>
    <t>EVACUATION D’EAUX PLUVIALES</t>
  </si>
  <si>
    <t>Sans objet - Extérieures</t>
  </si>
  <si>
    <t>9.9</t>
  </si>
  <si>
    <t>POMPE DE RELEVAGE</t>
  </si>
  <si>
    <t>Pompe de relevage double dito CCTP y compris raccordement électrique et hydraulique</t>
  </si>
  <si>
    <t>TOTAL H.T. - LOT N°03 - CHAPITRE B - VMC - PLOMBERIE - SANITAIRES</t>
  </si>
  <si>
    <t>T.V.A. 20,00 %</t>
  </si>
  <si>
    <t>TOTAL T.T.C. LOT N°03 - CHAPITRE B - VMC - PLOMBERIE - SANITAIRES</t>
  </si>
  <si>
    <t>20</t>
  </si>
  <si>
    <t>Désignation des travaux</t>
  </si>
  <si>
    <t>U</t>
  </si>
  <si>
    <t>Qtés</t>
  </si>
  <si>
    <t>Quantités entreprise</t>
  </si>
  <si>
    <t>PU HT en €</t>
  </si>
  <si>
    <t>Total HT en €</t>
  </si>
  <si>
    <t>CORPS D'ETAT ARCHITECTURAUX</t>
  </si>
  <si>
    <t>CH2</t>
  </si>
  <si>
    <t>1</t>
  </si>
  <si>
    <t>ORGANISATION DE CHANTIER</t>
  </si>
  <si>
    <t>CH3</t>
  </si>
  <si>
    <t xml:space="preserve">1 1 </t>
  </si>
  <si>
    <t>PLAN D'ORGANISATION DE CHANTIER</t>
  </si>
  <si>
    <t>fft</t>
  </si>
  <si>
    <t>ART</t>
  </si>
  <si>
    <t>002-A022</t>
  </si>
  <si>
    <t xml:space="preserve">1 2 </t>
  </si>
  <si>
    <t>INSTALLATIONS DE CHANTIER</t>
  </si>
  <si>
    <t>002-A024</t>
  </si>
  <si>
    <t xml:space="preserve">1 3 </t>
  </si>
  <si>
    <t>DECHETS DE CHANTIER / NETTOYAGE DE CHANTIER ET DE BASE DE VIE</t>
  </si>
  <si>
    <t>002-A042</t>
  </si>
  <si>
    <t>2</t>
  </si>
  <si>
    <t>2.1</t>
  </si>
  <si>
    <t>TRAVAUX DE PLATRERIE</t>
  </si>
  <si>
    <t>CH4</t>
  </si>
  <si>
    <t>2.1.1</t>
  </si>
  <si>
    <t>DESCRIPTION DES OUVRAGES DE PLATRERIE</t>
  </si>
  <si>
    <t>2.1.1.1</t>
  </si>
  <si>
    <t>DESCRIPTION DES OUVRAGES DE DOUBLAGE ISOLANT</t>
  </si>
  <si>
    <t>CH5</t>
  </si>
  <si>
    <t>2.1.1 1.1</t>
  </si>
  <si>
    <t>Sur murs donnant sur l'extérieur</t>
  </si>
  <si>
    <t>m²</t>
  </si>
  <si>
    <t>000-I121</t>
  </si>
  <si>
    <t>2.1.1 1.2</t>
  </si>
  <si>
    <t>Sur murs mitoyens</t>
  </si>
  <si>
    <t>000-I133</t>
  </si>
  <si>
    <t>2.1.1 1.3</t>
  </si>
  <si>
    <t>Sur murs donnant sur circulations communes / sur murs intérieurs</t>
  </si>
  <si>
    <t>000-I134</t>
  </si>
  <si>
    <t>2.1.1.2</t>
  </si>
  <si>
    <t>OUVRAGES DE FINITION</t>
  </si>
  <si>
    <t>CH6</t>
  </si>
  <si>
    <t>2.1.1.2.1</t>
  </si>
  <si>
    <t>Traitement / préparation des limons d'escaliers</t>
  </si>
  <si>
    <t>FEN-A165</t>
  </si>
  <si>
    <t>2.1.1.2.2</t>
  </si>
  <si>
    <t>Socles et bouchage des gaines palières &amp; logements</t>
  </si>
  <si>
    <t>008-B740</t>
  </si>
  <si>
    <t>2.1.1.2.3</t>
  </si>
  <si>
    <t>Rebouchage Gaine Technique CFo</t>
  </si>
  <si>
    <t>FEN-A166</t>
  </si>
  <si>
    <t>2.1.2</t>
  </si>
  <si>
    <t>DESCRIPTION DES OUVRAGES DE CLOISONS</t>
  </si>
  <si>
    <t xml:space="preserve">2.1.2 1 </t>
  </si>
  <si>
    <t>Cloisons séparatives type 72/48</t>
  </si>
  <si>
    <t>000-U312</t>
  </si>
  <si>
    <t xml:space="preserve">2.1.2 2 </t>
  </si>
  <si>
    <t>Cloisons gaine technique</t>
  </si>
  <si>
    <t>000-I123</t>
  </si>
  <si>
    <t xml:space="preserve">2.1.2 3 </t>
  </si>
  <si>
    <t>Cloisons 98/48 CF 1h</t>
  </si>
  <si>
    <t>005-A662</t>
  </si>
  <si>
    <t xml:space="preserve">2.1.2 4 </t>
  </si>
  <si>
    <t>Cloisons SAD160/48</t>
  </si>
  <si>
    <t>000-I228</t>
  </si>
  <si>
    <t xml:space="preserve">2.1.2 5 </t>
  </si>
  <si>
    <t>Cloisons en carreaux de plâtre épaisseur 50 mm</t>
  </si>
  <si>
    <t>000-I125</t>
  </si>
  <si>
    <t xml:space="preserve">2.1.2 6 </t>
  </si>
  <si>
    <t>Banquette en carreaux de plâtre épaisseur 50 mm</t>
  </si>
  <si>
    <t>ENS</t>
  </si>
  <si>
    <t>FEN-A175</t>
  </si>
  <si>
    <t xml:space="preserve">2.1.2 7 </t>
  </si>
  <si>
    <t>Pose des huisseries</t>
  </si>
  <si>
    <t>000-I126</t>
  </si>
  <si>
    <t xml:space="preserve">2.1.2 8 </t>
  </si>
  <si>
    <t>Cloisons en Briquettes</t>
  </si>
  <si>
    <t>010-A894</t>
  </si>
  <si>
    <t>2.1.3</t>
  </si>
  <si>
    <t>DESCRIPTION DES OUVRAGES DE FAUX PLAFONDS</t>
  </si>
  <si>
    <t xml:space="preserve">2.1.3 1 </t>
  </si>
  <si>
    <t>Faux plafond des niveaux intermédiaires / 2 plaques + isolant</t>
  </si>
  <si>
    <t>000-I128</t>
  </si>
  <si>
    <t xml:space="preserve">2.1.3 2 </t>
  </si>
  <si>
    <t>Faux-plafonds BA13 droit et  rampant y compris isolant</t>
  </si>
  <si>
    <t>000-I135</t>
  </si>
  <si>
    <t xml:space="preserve">2.1.3 3 </t>
  </si>
  <si>
    <t>Retombées, joues et soffites en plaques de plâtre</t>
  </si>
  <si>
    <t>000-I132</t>
  </si>
  <si>
    <t xml:space="preserve">2.1.3 4 </t>
  </si>
  <si>
    <t>Flocage coupe feu</t>
  </si>
  <si>
    <t>FEN-A179</t>
  </si>
  <si>
    <t>2.2</t>
  </si>
  <si>
    <t>TRAVAUX DE MENUISERIES INTERIEURES</t>
  </si>
  <si>
    <t>2.2.1</t>
  </si>
  <si>
    <t>DESCRIPTION DES TRAVAUX DE MENUISERIES INTERIEURES</t>
  </si>
  <si>
    <t>2.2.1.1</t>
  </si>
  <si>
    <t>PLACARDS INTERIEURS</t>
  </si>
  <si>
    <t>2.2.1.1.1</t>
  </si>
  <si>
    <t>PORTES DE PLACARDS ILOT 1</t>
  </si>
  <si>
    <t>2.2.1.1.1.1</t>
  </si>
  <si>
    <t>Façades de gaines techniques - Mi01</t>
  </si>
  <si>
    <t>010-A897</t>
  </si>
  <si>
    <t>2.2.1.1.1.2</t>
  </si>
  <si>
    <t>Placards ouvrants à la française Mi05 - placard GTL</t>
  </si>
  <si>
    <t>010-A902</t>
  </si>
  <si>
    <t>2.2.1.1.1.3</t>
  </si>
  <si>
    <t>Placards ouvrants à la française Mi05 - Placard d'entrée</t>
  </si>
  <si>
    <t>010-A899</t>
  </si>
  <si>
    <t>2.2.1.1.1.4</t>
  </si>
  <si>
    <t>Placards ouvrants à la française Mi05 - Placard chambre duplex</t>
  </si>
  <si>
    <t>010-A904</t>
  </si>
  <si>
    <t>2.2.1.1.1.5</t>
  </si>
  <si>
    <t>Placards ouvrants à la française Mi05 - Placard escaliers duplex</t>
  </si>
  <si>
    <t>FEN-A173</t>
  </si>
  <si>
    <t>2.2.1.1.1.6</t>
  </si>
  <si>
    <t>Placards ouvrants à la française Mi05 - Type 1</t>
  </si>
  <si>
    <t>FEN-A174</t>
  </si>
  <si>
    <t>2.2.1.1.1.7</t>
  </si>
  <si>
    <t>Placards ouvrants à la française Mi05 - Type 2</t>
  </si>
  <si>
    <t>010-A905</t>
  </si>
  <si>
    <t>2.2.1.1.1.8</t>
  </si>
  <si>
    <t>Placards ouvrants à la française Mi05 - Type 3</t>
  </si>
  <si>
    <t>FEN-A180</t>
  </si>
  <si>
    <t>2.2.1.1.1.9</t>
  </si>
  <si>
    <t>Étagères de rangement chambres</t>
  </si>
  <si>
    <t>010-A900</t>
  </si>
  <si>
    <t>2.2.1.1.2</t>
  </si>
  <si>
    <t>PORTES DE PLACARDS ILOT 2</t>
  </si>
  <si>
    <t>2.2.1.1.2.1</t>
  </si>
  <si>
    <t>Façades de gaines techniques</t>
  </si>
  <si>
    <t>000-I142</t>
  </si>
  <si>
    <t>2.2.1.1.2.2</t>
  </si>
  <si>
    <t>Placards ouvrants à la française Mi05 - Escalier Duplex</t>
  </si>
  <si>
    <t>FEN-A183</t>
  </si>
  <si>
    <t>2.2.1.1.2.3</t>
  </si>
  <si>
    <t>010-A903</t>
  </si>
  <si>
    <t>2.2.1.1.2.4</t>
  </si>
  <si>
    <t>2.2.1.1.2.5</t>
  </si>
  <si>
    <t>010-A910</t>
  </si>
  <si>
    <t>2.2.1.1.2.6</t>
  </si>
  <si>
    <t>010-A911</t>
  </si>
  <si>
    <t>2.2.1.1.2.7</t>
  </si>
  <si>
    <t>Placards ouvrants à la française Mi05 - Type 4</t>
  </si>
  <si>
    <t>010-A912</t>
  </si>
  <si>
    <t>2.2.1.1.2.8</t>
  </si>
  <si>
    <t>Placards ouvrants à la française Mi05 - Type 5</t>
  </si>
  <si>
    <t>010-A913</t>
  </si>
  <si>
    <t>2.2.1.1.2.9</t>
  </si>
  <si>
    <t>Placards ouvrants à la française Mi05 - Type 6</t>
  </si>
  <si>
    <t>010-A914</t>
  </si>
  <si>
    <t>2.2.1.1.2.10</t>
  </si>
  <si>
    <t>Placards ouvrants à la française Mi05 - Type 7</t>
  </si>
  <si>
    <t>010-A915</t>
  </si>
  <si>
    <t>2.2.1.1.2.11</t>
  </si>
  <si>
    <t>Placards ouvrants à la française Mi05 - Type 8</t>
  </si>
  <si>
    <t>010-A916</t>
  </si>
  <si>
    <t>2.2.1.2</t>
  </si>
  <si>
    <t>PORTES INTERIEURES</t>
  </si>
  <si>
    <t>2.2.1.2.1</t>
  </si>
  <si>
    <t>Portes intérieures de hall - SE01</t>
  </si>
  <si>
    <t>000-K943</t>
  </si>
  <si>
    <t>2.2.1.2.2</t>
  </si>
  <si>
    <t>Portes d’entrée des logements - P01</t>
  </si>
  <si>
    <t>000-I136</t>
  </si>
  <si>
    <t>2.2.1.2.3</t>
  </si>
  <si>
    <t>Portes de distribution des logements - P02</t>
  </si>
  <si>
    <t>000-I138</t>
  </si>
  <si>
    <t>2.2.1.2.4</t>
  </si>
  <si>
    <t>Portes de distribution techniques - P02 Bis</t>
  </si>
  <si>
    <t>010-A919</t>
  </si>
  <si>
    <t>2.2.1.2.5</t>
  </si>
  <si>
    <t>Portes des locaux techniques et communs - P03</t>
  </si>
  <si>
    <t>000-I139</t>
  </si>
  <si>
    <t>2.2.1.2.6</t>
  </si>
  <si>
    <t>Coulissante -  P04</t>
  </si>
  <si>
    <t>000-A744</t>
  </si>
  <si>
    <t>2.2.1.2.7</t>
  </si>
  <si>
    <t>Portes de placards de ballons d’eau chaude thermo dynamiques</t>
  </si>
  <si>
    <t>FEN-A185</t>
  </si>
  <si>
    <t>2.2.1.3</t>
  </si>
  <si>
    <t>ESCALIERS</t>
  </si>
  <si>
    <t>2.2.1.3.1</t>
  </si>
  <si>
    <t>Escalier bois droit</t>
  </si>
  <si>
    <t>001-B938</t>
  </si>
  <si>
    <t>2.2.1.3.2</t>
  </si>
  <si>
    <t>Escalier bois 3/4 tournant</t>
  </si>
  <si>
    <t>000-F787</t>
  </si>
  <si>
    <t>2.2.1.4</t>
  </si>
  <si>
    <t>GARDES CORPS METALLIQUES</t>
  </si>
  <si>
    <t>2.2.1.4.1</t>
  </si>
  <si>
    <t>Garde-corps 1 - Escalier bois duplex Ilot 1</t>
  </si>
  <si>
    <t>ML</t>
  </si>
  <si>
    <t>010-A924</t>
  </si>
  <si>
    <t>2.2.1.4.2</t>
  </si>
  <si>
    <t>Garde-corps 2 - Escalier bois duplex Ilot 2</t>
  </si>
  <si>
    <t>000-L298</t>
  </si>
  <si>
    <t>2.2.1.5</t>
  </si>
  <si>
    <t>FINITIONS ET EQUIPEMENTS</t>
  </si>
  <si>
    <t>2.2.1.5.1</t>
  </si>
  <si>
    <t>Trappe d'accès aux combles 800 x 1200 mm</t>
  </si>
  <si>
    <t>000-E887</t>
  </si>
  <si>
    <t>2.2.1.5.2</t>
  </si>
  <si>
    <t>Nez de marche en bois</t>
  </si>
  <si>
    <t>010-A888</t>
  </si>
  <si>
    <t>2.2.1.5.3</t>
  </si>
  <si>
    <t>Remise en état Nez de marche existants</t>
  </si>
  <si>
    <t>FEN-A184</t>
  </si>
  <si>
    <t>2.2.1.5.4</t>
  </si>
  <si>
    <t>Affichage</t>
  </si>
  <si>
    <t>000-I146</t>
  </si>
  <si>
    <t>2.2.1.5.5</t>
  </si>
  <si>
    <t>Plan d'évacuation</t>
  </si>
  <si>
    <t>000-G388</t>
  </si>
  <si>
    <t>2.2.1.5.6</t>
  </si>
  <si>
    <t>Boites aux lettres</t>
  </si>
  <si>
    <t>000-I143</t>
  </si>
  <si>
    <t>2.2.1.5.7</t>
  </si>
  <si>
    <t>Poubelle de hall</t>
  </si>
  <si>
    <t>010-A920</t>
  </si>
  <si>
    <t>2.2.1.5.8</t>
  </si>
  <si>
    <t>Habillage périphérique Boites aux lettres</t>
  </si>
  <si>
    <t>010-A921</t>
  </si>
  <si>
    <t>2.2.1.5.9</t>
  </si>
  <si>
    <t>Miroir rond</t>
  </si>
  <si>
    <t>000-I144</t>
  </si>
  <si>
    <t>2.2.1.5.10</t>
  </si>
  <si>
    <t>Banc en Bois hall</t>
  </si>
  <si>
    <t>010-A892</t>
  </si>
  <si>
    <t>2.2.1.5.11</t>
  </si>
  <si>
    <t>Butée de porte</t>
  </si>
  <si>
    <t>000-W531</t>
  </si>
  <si>
    <t>2.2.1.5.12</t>
  </si>
  <si>
    <t>Couvre-joint</t>
  </si>
  <si>
    <t>000-F782</t>
  </si>
  <si>
    <t>2.2.1.5.13</t>
  </si>
  <si>
    <t>Tablettes bois d'appui de fenêtre en chêne massif</t>
  </si>
  <si>
    <t>010-A895</t>
  </si>
  <si>
    <t>2.2.1.5.14</t>
  </si>
  <si>
    <t>Tablettes bois d'appui de fenêtre en medium</t>
  </si>
  <si>
    <t>010-A473</t>
  </si>
  <si>
    <t>2.2.1.5.15</t>
  </si>
  <si>
    <t>Lettrage principal sur entrées des bâtiments</t>
  </si>
  <si>
    <t>000-K422</t>
  </si>
  <si>
    <t>2.2.1.5.16</t>
  </si>
  <si>
    <t>Quincaillerie complémentaire</t>
  </si>
  <si>
    <t>FEN-A167</t>
  </si>
  <si>
    <t>2.2.1.5.17</t>
  </si>
  <si>
    <t>Signalétique intérieure</t>
  </si>
  <si>
    <t>000-I145</t>
  </si>
  <si>
    <t>2.2.1.5.18</t>
  </si>
  <si>
    <t>Organigramme</t>
  </si>
  <si>
    <t>000-U298</t>
  </si>
  <si>
    <t>2.3</t>
  </si>
  <si>
    <t>DESCRIPTION DES TRAVAUX DE SOLS DURS ET FAÏENCE</t>
  </si>
  <si>
    <t>2.3.1</t>
  </si>
  <si>
    <t>2.3.1.1</t>
  </si>
  <si>
    <t>PREPARATION / SOUS COUCHES</t>
  </si>
  <si>
    <t>2.3.1.1.1</t>
  </si>
  <si>
    <t>Ragréage P3</t>
  </si>
  <si>
    <t>000-I101</t>
  </si>
  <si>
    <t>2.3.1.1.2</t>
  </si>
  <si>
    <t>Socle pour réseaux</t>
  </si>
  <si>
    <t>000-I090</t>
  </si>
  <si>
    <t>2.3.1.1.3</t>
  </si>
  <si>
    <t>Isolation phonique sous carrelages collés</t>
  </si>
  <si>
    <t>000-I068</t>
  </si>
  <si>
    <t>2.3.1.1.4</t>
  </si>
  <si>
    <t>Système d'étanchéité S.P.E.C</t>
  </si>
  <si>
    <t>000-I099</t>
  </si>
  <si>
    <t>2.3.1.2</t>
  </si>
  <si>
    <t>REVÊTEMENT DE SOL CARRELÉ – PARTIES COMMUNES</t>
  </si>
  <si>
    <t>2.3.1.2.1</t>
  </si>
  <si>
    <t>Carrelage 40x40</t>
  </si>
  <si>
    <t>010-A922</t>
  </si>
  <si>
    <t>2.3.1.2.2</t>
  </si>
  <si>
    <t>Plinthes pour carrelage 40x40</t>
  </si>
  <si>
    <t>010-A923</t>
  </si>
  <si>
    <t>2.3.1.2.3</t>
  </si>
  <si>
    <t>Tomettes rectangulaires 15*30 cm</t>
  </si>
  <si>
    <t>010-A890</t>
  </si>
  <si>
    <t>2.3.1.2.4</t>
  </si>
  <si>
    <t>Tomettes rectangulaires 7.5*20 cm</t>
  </si>
  <si>
    <t>010-A891</t>
  </si>
  <si>
    <t>2.3.1.2.5</t>
  </si>
  <si>
    <t>Tomettes rectangulaires 7.5*15.5 cm</t>
  </si>
  <si>
    <t>010-A893</t>
  </si>
  <si>
    <t>2.3.1.2.6</t>
  </si>
  <si>
    <t>Plinthes en Tomettes rectangulaires 7*20 cm</t>
  </si>
  <si>
    <t>010-A889</t>
  </si>
  <si>
    <t>2.3.1.3</t>
  </si>
  <si>
    <t>REVÊTEMENT DE SOL CARRELÉ – LOGEMENTS</t>
  </si>
  <si>
    <t>2.3.1.3.1</t>
  </si>
  <si>
    <t>Carrelage 15x15</t>
  </si>
  <si>
    <t>000-I080</t>
  </si>
  <si>
    <t>2.3.1.3.2</t>
  </si>
  <si>
    <t>Plinthes pour carrelage 15x15</t>
  </si>
  <si>
    <t>000-I081</t>
  </si>
  <si>
    <t>2.3.1.4</t>
  </si>
  <si>
    <t>REVÊTEMENTS DE MURS</t>
  </si>
  <si>
    <t>2.3.1.4.1</t>
  </si>
  <si>
    <t>Faïence cuisines 10x10</t>
  </si>
  <si>
    <t>FEN-A170</t>
  </si>
  <si>
    <t>2.3.1.4.2</t>
  </si>
  <si>
    <t>Faïence salles de bains 10x10</t>
  </si>
  <si>
    <t>000-I104</t>
  </si>
  <si>
    <t>2.3.1.5</t>
  </si>
  <si>
    <t>OUVRAGES DIVERS</t>
  </si>
  <si>
    <t>2.3.1.5.1</t>
  </si>
  <si>
    <t>Clous podotactiles d'éveil à la vigilance</t>
  </si>
  <si>
    <t>000-A725</t>
  </si>
  <si>
    <t>2.3.1.5.2</t>
  </si>
  <si>
    <t>Tapis brosse</t>
  </si>
  <si>
    <t>000-I112</t>
  </si>
  <si>
    <t>2.3.1.5.3</t>
  </si>
  <si>
    <t>Cadre de sol pour tapis brosse</t>
  </si>
  <si>
    <t>000-I113</t>
  </si>
  <si>
    <t>2.3.1.5.4</t>
  </si>
  <si>
    <t>Luminaire mural en faïences</t>
  </si>
  <si>
    <t>FEN-A178</t>
  </si>
  <si>
    <t>2.4</t>
  </si>
  <si>
    <t>TRAVAUX DE PEINTURE</t>
  </si>
  <si>
    <t>2.4.1</t>
  </si>
  <si>
    <t>DESCRIPTION DES TRAVAUX DE PEINTURE</t>
  </si>
  <si>
    <t>2.4.1.1</t>
  </si>
  <si>
    <t>SUR BOIS</t>
  </si>
  <si>
    <t>2.4.1.1.1</t>
  </si>
  <si>
    <t>Peinture acrylique en phase aqueuse sur menuiseries</t>
  </si>
  <si>
    <t>000-I030</t>
  </si>
  <si>
    <t>2.4.1.1.2</t>
  </si>
  <si>
    <t>Vitrification des escaliers bois</t>
  </si>
  <si>
    <t>000-I031</t>
  </si>
  <si>
    <t>2.4.1.2</t>
  </si>
  <si>
    <t>SUR MURS</t>
  </si>
  <si>
    <t>2.4.1.2.1</t>
  </si>
  <si>
    <t>Peinture acrylique pour murs des halls</t>
  </si>
  <si>
    <t>FEN-A171</t>
  </si>
  <si>
    <t>2.4.1.2.2</t>
  </si>
  <si>
    <t>Peinture acrylique pour murs</t>
  </si>
  <si>
    <t>000-I019</t>
  </si>
  <si>
    <t>2.4.1.2.3</t>
  </si>
  <si>
    <t>Murs pièces humides des logements</t>
  </si>
  <si>
    <t>000-G984</t>
  </si>
  <si>
    <t>2.4.1.2.4</t>
  </si>
  <si>
    <t>Enduit de finition projeté</t>
  </si>
  <si>
    <t>010-A356</t>
  </si>
  <si>
    <t>2.4.1.2.5</t>
  </si>
  <si>
    <t>Enduit type monocouche</t>
  </si>
  <si>
    <t>FEN-A187</t>
  </si>
  <si>
    <t>2.4.1.3</t>
  </si>
  <si>
    <t>SUR PLAFONDS ET ASSIMILES</t>
  </si>
  <si>
    <t>2.4.1.3.1</t>
  </si>
  <si>
    <t>Plafonds pièces sèches</t>
  </si>
  <si>
    <t>000-I020</t>
  </si>
  <si>
    <t>2.4.1.3.2</t>
  </si>
  <si>
    <t>Plafonds pièces humides</t>
  </si>
  <si>
    <t>000-I021</t>
  </si>
  <si>
    <t>2.4.1.3.3</t>
  </si>
  <si>
    <t>Peinture acrylique pour sous faces et limons</t>
  </si>
  <si>
    <t>000-I022</t>
  </si>
  <si>
    <t>2.4.1.4</t>
  </si>
  <si>
    <t>SUR OUVRAGES PARTICULIERS</t>
  </si>
  <si>
    <t>2.4.1.4.1</t>
  </si>
  <si>
    <t>Préparation et mise en peinture de banquettes en carreau de plâtre</t>
  </si>
  <si>
    <t>FEN-A182</t>
  </si>
  <si>
    <t>2.4.1.5</t>
  </si>
  <si>
    <t>SUR METAUX FERREUX - NON FERREUX ET ASIMILES PVC/PU</t>
  </si>
  <si>
    <t>2.4.1.5.1</t>
  </si>
  <si>
    <t>Peinture sur ouvrages métallique</t>
  </si>
  <si>
    <t>000-I032</t>
  </si>
  <si>
    <t>2.4.1.5.2</t>
  </si>
  <si>
    <t>Peinture sur métaux non ferreux</t>
  </si>
  <si>
    <t>000-I033</t>
  </si>
  <si>
    <t>2.4.1.5.3</t>
  </si>
  <si>
    <t>Peinture sur canalisations et grilles PVC</t>
  </si>
  <si>
    <t>000-I034</t>
  </si>
  <si>
    <t>2.4.1.6</t>
  </si>
  <si>
    <t>SUR SOL</t>
  </si>
  <si>
    <t>2.4.1.6.1</t>
  </si>
  <si>
    <t>Peinture de sol</t>
  </si>
  <si>
    <t>000-I036</t>
  </si>
  <si>
    <t>2.4.1.7</t>
  </si>
  <si>
    <t>NETTOYAGE</t>
  </si>
  <si>
    <t>2.4.1.7.1</t>
  </si>
  <si>
    <t>Nettoyage d'OPR</t>
  </si>
  <si>
    <t>FEN-A172</t>
  </si>
  <si>
    <t>2.4.1.7.2</t>
  </si>
  <si>
    <t>Nettoyage de Livraison</t>
  </si>
  <si>
    <t>000-I049</t>
  </si>
  <si>
    <t>Montant HT du Lot N°03 MACROLOT - SECOND OEUVRE - PHASE 02</t>
  </si>
  <si>
    <t>TOTHT</t>
  </si>
  <si>
    <t>TVA</t>
  </si>
  <si>
    <t>Montant TTC</t>
  </si>
  <si>
    <t>TOTTTC</t>
  </si>
  <si>
    <t>CORPS D'ETATS TECHNIQUES</t>
  </si>
  <si>
    <t>3.1.1</t>
  </si>
  <si>
    <t>3.1.1.1</t>
  </si>
  <si>
    <t>3.1.1.2</t>
  </si>
  <si>
    <t>3.1.1.3</t>
  </si>
  <si>
    <t>3.1.1.4</t>
  </si>
  <si>
    <t>3.1.1.5</t>
  </si>
  <si>
    <t>LIMITE DES PRESTATIONS</t>
  </si>
  <si>
    <t>3.1.1.6</t>
  </si>
  <si>
    <t>3.1.1.7</t>
  </si>
  <si>
    <t>3.1.1.8</t>
  </si>
  <si>
    <t>3.1.1.9</t>
  </si>
  <si>
    <t>3.1.2</t>
  </si>
  <si>
    <t>3.1.3</t>
  </si>
  <si>
    <t>DESCRIPTION DES OUVRAGES EN ÉLECTRICITÉ – COURANTS FORTS</t>
  </si>
  <si>
    <t>3.1.3.1</t>
  </si>
  <si>
    <t>BRANCHEMENT, ECLAIRAGE ET COFFRETS DE CHANTIER</t>
  </si>
  <si>
    <t xml:space="preserve"> - Branchement de chantier dito CCTP</t>
  </si>
  <si>
    <t xml:space="preserve"> - Radiateurs et PC 16A pour la base vie</t>
  </si>
  <si>
    <t xml:space="preserve"> - Eclairage et coffrets de chantier dito CCTP</t>
  </si>
  <si>
    <t>3.1.3.2</t>
  </si>
  <si>
    <t>3.1.3.2.1</t>
  </si>
  <si>
    <t>Limites des installations</t>
  </si>
  <si>
    <t>3.1.3.2.2</t>
  </si>
  <si>
    <t>Origines des installations</t>
  </si>
  <si>
    <t>Raccordement sur coffret coupe-circuit REM-BT</t>
  </si>
  <si>
    <t>3.1.3.2.3</t>
  </si>
  <si>
    <t>Comptage pour services généraux</t>
  </si>
  <si>
    <t>Fourniture, pose et raccordement des équipements dito CCTP pour comptages des services généraux :</t>
  </si>
  <si>
    <t>Coffret de comptage 6 kVA (à confirmer en EXE)</t>
  </si>
  <si>
    <t>Disjoncteurs de branchement</t>
  </si>
  <si>
    <t>3.1.3.3</t>
  </si>
  <si>
    <t>PRISE DE TERRE</t>
  </si>
  <si>
    <t>3.1.3.3.6</t>
  </si>
  <si>
    <t>Liaisons équipotentielles</t>
  </si>
  <si>
    <t>3.1.3.4</t>
  </si>
  <si>
    <t>BRANCHEMENTS ELECTRIQUES</t>
  </si>
  <si>
    <t>3.1.3.4.1</t>
  </si>
  <si>
    <t>Branchement électrique des communs</t>
  </si>
  <si>
    <t>TD SG équipé et raccordé dito CCTP</t>
  </si>
  <si>
    <t>Fourreau aiguillé du RDC jusqu'au lanterneau de désenfumage pour commande électrique</t>
  </si>
  <si>
    <t>3.1.3.4.2</t>
  </si>
  <si>
    <t>Colonnes montantes</t>
  </si>
  <si>
    <t>Mise en œuvre des colonnes montantes adaptées :</t>
  </si>
  <si>
    <t xml:space="preserve">     - Ilot 1</t>
  </si>
  <si>
    <t xml:space="preserve">     - Ilot 2</t>
  </si>
  <si>
    <t>Compris coffret pied de colonne, dérivateur d'étage, dérivation d'abonnées et tous accessoires de branchement</t>
  </si>
  <si>
    <t>3.1.3.5</t>
  </si>
  <si>
    <t>CHAUFFAGE</t>
  </si>
  <si>
    <t>3.1.3.5.1</t>
  </si>
  <si>
    <t>Etude thermique pièce par pièce</t>
  </si>
  <si>
    <t>3.1.3.5.2</t>
  </si>
  <si>
    <t>Panneau rayonnant électrique</t>
  </si>
  <si>
    <t>Fourniture et pose de panneaux rayonnants électriques de type RAD NEO de chez NOIROT.</t>
  </si>
  <si>
    <t>3.1.3.5.3</t>
  </si>
  <si>
    <t>Sèche serviette</t>
  </si>
  <si>
    <t>Fourniture, pose et raccordement des sèche serviette de type Ceibo de chez Batilec dito CCTP</t>
  </si>
  <si>
    <t>3.1.3.6</t>
  </si>
  <si>
    <t>INSTALLATIONS INTERIEURES DES LOGEMENTS</t>
  </si>
  <si>
    <t>3.1.3.6.1</t>
  </si>
  <si>
    <t>Gaine technique logement</t>
  </si>
  <si>
    <t>Fourniture, pose et raccordement des GTL encastrées</t>
  </si>
  <si>
    <t xml:space="preserve"> - T2</t>
  </si>
  <si>
    <t xml:space="preserve"> - T3</t>
  </si>
  <si>
    <t>3.1.3.6.2</t>
  </si>
  <si>
    <t>Tableau électrique d'abonné</t>
  </si>
  <si>
    <t>Fourniture, pose et raccordement des tableaux d'abonnés entièrement équipés dito CCTP</t>
  </si>
  <si>
    <t>3.1.3.6.3</t>
  </si>
  <si>
    <t>Distribution électrique secondaire</t>
  </si>
  <si>
    <t>à inclure dans PU "équipements des logements"</t>
  </si>
  <si>
    <t>3.1.3.6.4</t>
  </si>
  <si>
    <t>Appareillages</t>
  </si>
  <si>
    <t>3.1.3.6.5</t>
  </si>
  <si>
    <t>Equipements et attentes des logements</t>
  </si>
  <si>
    <t>Se reporter au CCTP et aux plans électriques:</t>
  </si>
  <si>
    <t xml:space="preserve"> - Equipements des T2 dito CCTP et plans</t>
  </si>
  <si>
    <t xml:space="preserve"> - Equipements des T3 dito CCTP et plans</t>
  </si>
  <si>
    <t>3.1.3.6.6</t>
  </si>
  <si>
    <t>Brasseur d'air</t>
  </si>
  <si>
    <t>Brasseur d'air dito CCTP, y compris commande manuelle filaire encastrée, support de fixation, alimentation, etc.</t>
  </si>
  <si>
    <t>3.1.3.7</t>
  </si>
  <si>
    <t>INSTALLATIONS ELECTRIQUES DES LOCAUX COMMUNS</t>
  </si>
  <si>
    <t>3.1.3.7.1</t>
  </si>
  <si>
    <t>Généralités</t>
  </si>
  <si>
    <t>3.1.3.7.2</t>
  </si>
  <si>
    <t>Equipements électriques des communs</t>
  </si>
  <si>
    <t>Eclairage halls et paliers</t>
  </si>
  <si>
    <t xml:space="preserve"> - Plafonnier LED</t>
  </si>
  <si>
    <t xml:space="preserve"> - Détecteur de présence et luminosité mural</t>
  </si>
  <si>
    <t>Eclairage escaliers</t>
  </si>
  <si>
    <t xml:space="preserve"> - Plafonnier LED ou mural suivant les cas</t>
  </si>
  <si>
    <t>Prises parties communes anti-vandales</t>
  </si>
  <si>
    <t>Les équipements électriques des locaux communs</t>
  </si>
  <si>
    <t xml:space="preserve"> - Hublot LED IK10 </t>
  </si>
  <si>
    <t xml:space="preserve"> - Tubulaires étanches LED IK10</t>
  </si>
  <si>
    <t xml:space="preserve"> - Tubulaires étanches LED IK10 - Format compact</t>
  </si>
  <si>
    <t xml:space="preserve"> - Détecteur de présence et luminosité</t>
  </si>
  <si>
    <t xml:space="preserve"> - PC 10/16A étanches</t>
  </si>
  <si>
    <t>3.1.3.7.3</t>
  </si>
  <si>
    <t>Attentes forces</t>
  </si>
  <si>
    <t xml:space="preserve"> - Attentes pour portes sous contrôle d'accès</t>
  </si>
  <si>
    <t xml:space="preserve"> - Attentes pour VMC CR1</t>
  </si>
  <si>
    <t xml:space="preserve"> - Attentes pour VMC</t>
  </si>
  <si>
    <t xml:space="preserve"> - Attente pompe de relevage</t>
  </si>
  <si>
    <t xml:space="preserve"> - Attente antenne TV</t>
  </si>
  <si>
    <t xml:space="preserve"> - Attente ballon ECS local ménage</t>
  </si>
  <si>
    <t xml:space="preserve"> - Attente édicule désenfumage</t>
  </si>
  <si>
    <t xml:space="preserve"> - Attente supplémentaire (Non dessinée, à comptabiliser)</t>
  </si>
  <si>
    <t>Les équipements électriques des box</t>
  </si>
  <si>
    <t xml:space="preserve"> - Interrupteur Simple alllumage étanche</t>
  </si>
  <si>
    <t>3.1.3.7.5</t>
  </si>
  <si>
    <t>Plans d'évacuation</t>
  </si>
  <si>
    <t>Plan d'intervention - Hall RDC</t>
  </si>
  <si>
    <t>Plan d'évacuation - chaque niveau</t>
  </si>
  <si>
    <t>3.1.3.8</t>
  </si>
  <si>
    <t>INSTALLATIONS ELECTRIQUES EXTERIEURES</t>
  </si>
  <si>
    <t>3.1.4</t>
  </si>
  <si>
    <t>DESCRIPTION DES OUVRAGES EN COURANTS FAIBLES</t>
  </si>
  <si>
    <t>3.1.4.1</t>
  </si>
  <si>
    <t>SYSTÈME D'INTERPHONIE / PORTIER</t>
  </si>
  <si>
    <t>3.1.4.1.1</t>
  </si>
  <si>
    <t>Système d'interphonie INTRATONE</t>
  </si>
  <si>
    <t>Platine de rue interphone INTRATONE encastré antivandale dito CCTP</t>
  </si>
  <si>
    <t>Bouton d'ouverture de porte intérieur dito CCTP</t>
  </si>
  <si>
    <t>Y compris dispositif de sécurité, alimentation électrique avec protection dito CCTP</t>
  </si>
  <si>
    <t>Compris cablâge, accessoires divers, alimentations, protections, raccordements, essais</t>
  </si>
  <si>
    <t>3.1.4.1.2</t>
  </si>
  <si>
    <t>Système VIGIK</t>
  </si>
  <si>
    <t xml:space="preserve"> - Centrale VIGIK, logiciel de gestion dito CCTP</t>
  </si>
  <si>
    <t xml:space="preserve"> - Lecteurs de badge dans porte d'accès extérieure, SAS dito CCTP</t>
  </si>
  <si>
    <t xml:space="preserve"> - Badges</t>
  </si>
  <si>
    <t>Y compris mise en service</t>
  </si>
  <si>
    <t>3.1.4.2</t>
  </si>
  <si>
    <t>RESEAU TELEPHONIQUE</t>
  </si>
  <si>
    <t>Sans objet</t>
  </si>
  <si>
    <t>3.1.4.3</t>
  </si>
  <si>
    <t>PRE-INSTALLATION DE FIBRE OPTIQUE</t>
  </si>
  <si>
    <t>Point de mutualisation</t>
  </si>
  <si>
    <t xml:space="preserve"> - Boîtier de pied d'immeuble dito CCTP</t>
  </si>
  <si>
    <t>Supportage fibre optique</t>
  </si>
  <si>
    <t xml:space="preserve"> - Ensemble du supportage dito CCTP et selon prescription ORANGE :</t>
  </si>
  <si>
    <t>Fourreaux + Chemins de câbles depuis façade jusqu'au LT</t>
  </si>
  <si>
    <t xml:space="preserve">Chemin de câble </t>
  </si>
  <si>
    <t>Colonnes montante constitué d'un chemin de câble et d'anneaux de supportage</t>
  </si>
  <si>
    <t>Rail DIN à chaque palier (1 par opérateur)</t>
  </si>
  <si>
    <t>Fourreaux encastré depuis gaine palière jusqu'aux logements compris pots d'encastrements</t>
  </si>
  <si>
    <t>DTIo dans les ETEL</t>
  </si>
  <si>
    <t>3.1.4.4</t>
  </si>
  <si>
    <t>SONNETTE</t>
  </si>
  <si>
    <t>Fourniture et pose d'une sonnette avec porte étiquette et boutoir poussoir avec carillon par logement</t>
  </si>
  <si>
    <t>3.1.4.5</t>
  </si>
  <si>
    <t>TELEVISION</t>
  </si>
  <si>
    <t>3.1.4.5.1</t>
  </si>
  <si>
    <t>3.1.4.5.2</t>
  </si>
  <si>
    <t>Caractéristiques du réseau</t>
  </si>
  <si>
    <t>Tête de réseau et dérivateurs</t>
  </si>
  <si>
    <t>Fourniture et pose de tête de réseau dito CCTP</t>
  </si>
  <si>
    <t>Dérivateurs d'étages</t>
  </si>
  <si>
    <t>Dérivations vers logements</t>
  </si>
  <si>
    <t>3.1.4.5.4</t>
  </si>
  <si>
    <t>Antenne terrestre</t>
  </si>
  <si>
    <t>Mât d'antenne et antennes dito CCTP</t>
  </si>
  <si>
    <t>3.1.4.5.5</t>
  </si>
  <si>
    <t>Paraboles</t>
  </si>
  <si>
    <t>Paraboles dito CCTP</t>
  </si>
  <si>
    <t>3.1.4.5.6</t>
  </si>
  <si>
    <t>Cablage</t>
  </si>
  <si>
    <t>Câblages coaxiaux de descente d'antennes</t>
  </si>
  <si>
    <t>Essais</t>
  </si>
  <si>
    <t>Forfait</t>
  </si>
  <si>
    <t>3.1.4.5.7</t>
  </si>
  <si>
    <t>Prises TV - FM - Paraboles</t>
  </si>
  <si>
    <t>à comptabiliser dans ¶ "équipements des logements"</t>
  </si>
  <si>
    <t>3.1.4.6</t>
  </si>
  <si>
    <t>DAAF</t>
  </si>
  <si>
    <t>TOTAL H.T. - LOT N°03 - CHAPITRE A - ELEC CFO CFA - CHAUFFAGE</t>
  </si>
  <si>
    <t>T.V.A. 20 %</t>
  </si>
  <si>
    <t>TOTAL T.T.C. - LOT N°03 - CHAPITRE A - ELEC CFO CFA - CHAUFFAGE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</si>
</sst>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#,##0.00\ &quot;€&quot;;\-#,##0.00\ &quot;€&quot;"/>
    <numFmt numFmtId="8" formatCode="#,##0.00\ &quot;€&quot;;[Red]\-#,##0.00\ &quot;€&quot;"/>
    <numFmt numFmtId="43" formatCode="_-* #,##0.00_-;\-* #,##0.00_-;_-* &quot;-&quot;??_-;_-@_-"/>
    <numFmt numFmtId="164" formatCode="#,##0.00\ [$€];[Red]\-#,##0.00\ [$€]"/>
    <numFmt numFmtId="165" formatCode="#,##0.00\ [$€-40C];\-#,##0.00\ [$€-40C]"/>
  </numFmts>
  <fonts count="54">
    <font>
      <sz val="11"/>
      <color theme="1"/>
      <name val="Calibri"/>
      <family val="2"/>
      <scheme val="minor"/>
    </font>
    <font>
      <sz val="11"/>
      <color rgb="FF000000"/>
      <name val="Arial Narrow"/>
      <family val="1"/>
    </font>
    <font>
      <sz val="10"/>
      <color rgb="FF000000"/>
      <name val="Arial"/>
      <family val="1"/>
    </font>
    <font>
      <b/>
      <sz val="18"/>
      <color rgb="FFFFFFFF"/>
      <name val="Arial Nova Cond"/>
      <family val="1"/>
    </font>
    <font>
      <b/>
      <sz val="14"/>
      <color rgb="FF000000"/>
      <name val="Arial Nova Cond"/>
      <family val="1"/>
    </font>
    <font>
      <b/>
      <sz val="11"/>
      <color rgb="FF000000"/>
      <name val="Arial Nova Cond"/>
      <family val="1"/>
    </font>
    <font>
      <b/>
      <sz val="10"/>
      <color rgb="FF000000"/>
      <name val="Arial Nova Cond"/>
      <family val="1"/>
    </font>
    <font>
      <sz val="9"/>
      <color rgb="FF000000"/>
      <name val="Arial Nova Cond"/>
      <family val="1"/>
    </font>
    <font>
      <sz val="9"/>
      <color rgb="FF000080"/>
      <name val="Arial"/>
      <family val="1"/>
    </font>
    <font>
      <sz val="9"/>
      <color rgb="FF000000"/>
      <name val="Arial Narrow"/>
      <family val="1"/>
    </font>
    <font>
      <sz val="10"/>
      <color rgb="FFFF0000"/>
      <name val="Arial"/>
      <family val="1"/>
    </font>
    <font>
      <b/>
      <u/>
      <sz val="10"/>
      <color rgb="FF000000"/>
      <name val="Arial"/>
      <family val="1"/>
    </font>
    <font>
      <sz val="8"/>
      <color rgb="FF000000"/>
      <name val="Arial"/>
      <family val="1"/>
    </font>
    <font>
      <sz val="7"/>
      <color rgb="FF000000"/>
      <name val="Arial"/>
      <family val="1"/>
    </font>
    <font>
      <sz val="11"/>
      <color theme="1"/>
      <name val="Calibri"/>
      <family val="2"/>
      <scheme val="minor"/>
    </font>
    <font>
      <sz val="10"/>
      <name val="MS Sans Serif"/>
    </font>
    <font>
      <sz val="10"/>
      <name val="MS Sans Serif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sz val="8"/>
      <color rgb="FF000000"/>
      <name val="Arial"/>
      <family val="2"/>
    </font>
    <font>
      <sz val="7"/>
      <color rgb="FF000000"/>
      <name val="Arial"/>
      <family val="2"/>
    </font>
    <font>
      <b/>
      <sz val="12"/>
      <color rgb="FFFF0000"/>
      <name val="Arial"/>
      <family val="2"/>
    </font>
    <font>
      <b/>
      <sz val="11"/>
      <name val="Arial Nova Cond"/>
      <family val="2"/>
    </font>
    <font>
      <b/>
      <u/>
      <sz val="11"/>
      <name val="Arial Nova Cond"/>
      <family val="2"/>
    </font>
    <font>
      <sz val="11"/>
      <name val="Arial Nova Cond"/>
      <family val="2"/>
    </font>
    <font>
      <b/>
      <u/>
      <sz val="9"/>
      <name val="Arial Nova Cond"/>
      <family val="2"/>
    </font>
    <font>
      <sz val="9"/>
      <name val="Arial Nova Cond"/>
      <family val="2"/>
    </font>
    <font>
      <sz val="10"/>
      <name val="Arial Nova Cond"/>
      <family val="2"/>
    </font>
    <font>
      <u/>
      <sz val="9"/>
      <name val="Arial Nova Cond"/>
      <family val="2"/>
    </font>
    <font>
      <sz val="11"/>
      <color theme="1"/>
      <name val="Arial Nova Cond"/>
      <family val="2"/>
    </font>
    <font>
      <b/>
      <u val="double"/>
      <sz val="11"/>
      <name val="Arial Nova Cond"/>
      <family val="2"/>
    </font>
    <font>
      <i/>
      <sz val="11"/>
      <name val="Arial Nova Cond"/>
      <family val="2"/>
    </font>
    <font>
      <b/>
      <u/>
      <sz val="14"/>
      <color theme="2" tint="-0.499984740745262"/>
      <name val="Arial Nova Cond"/>
      <family val="1"/>
    </font>
    <font>
      <b/>
      <sz val="8"/>
      <name val="Arial Nova Cond"/>
      <family val="2"/>
    </font>
    <font>
      <sz val="9"/>
      <color rgb="FFFF0000"/>
      <name val="Arial Nova Cond"/>
      <family val="2"/>
    </font>
    <font>
      <b/>
      <sz val="11"/>
      <color theme="0"/>
      <name val="Arial Nova Cond"/>
      <family val="2"/>
    </font>
    <font>
      <b/>
      <sz val="11"/>
      <name val="Calibri  "/>
    </font>
    <font>
      <i/>
      <sz val="11"/>
      <name val="Calibri   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1"/>
    </font>
    <font>
      <b/>
      <sz val="12"/>
      <color rgb="FFFFFFFF"/>
      <name val="Arial Nova Cond"/>
      <family val="1"/>
    </font>
    <font>
      <b/>
      <sz val="12"/>
      <color rgb="FF000000"/>
      <name val="Arial Nova Cond"/>
      <family val="1"/>
    </font>
    <font>
      <sz val="12"/>
      <color rgb="FF000000"/>
      <name val="Arial Nova Cond"/>
      <family val="1"/>
    </font>
    <font>
      <sz val="12"/>
      <color rgb="FF000000"/>
      <name val="Arial Nova Cond"/>
      <family val="2"/>
    </font>
    <font>
      <b/>
      <sz val="12"/>
      <color theme="1"/>
      <name val="Calibri"/>
      <family val="2"/>
      <scheme val="minor"/>
    </font>
    <font>
      <b/>
      <sz val="12"/>
      <name val="Arial Nova Cond"/>
      <family val="2"/>
    </font>
    <font>
      <sz val="12"/>
      <name val="Arial Nova Cond"/>
      <family val="2"/>
    </font>
    <font>
      <sz val="12"/>
      <color rgb="FFFFFFFF"/>
      <name val="Calibri"/>
      <family val="1"/>
    </font>
    <font>
      <sz val="12"/>
      <color rgb="FFFF0000"/>
      <name val="Arial Nova Cond"/>
      <family val="2"/>
    </font>
    <font>
      <i/>
      <sz val="12"/>
      <name val="Arial Nova Cond"/>
      <family val="2"/>
    </font>
    <font>
      <b/>
      <sz val="12"/>
      <color theme="0"/>
      <name val="Arial Nova Cond"/>
      <family val="2"/>
    </font>
  </fonts>
  <fills count="12">
    <fill>
      <patternFill patternType="none"/>
    </fill>
    <fill>
      <patternFill patternType="gray125"/>
    </fill>
    <fill>
      <patternFill patternType="solid">
        <fgColor rgb="FF4D647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rgb="FFBFBFBF"/>
      </top>
      <bottom/>
      <diagonal/>
    </border>
  </borders>
  <cellStyleXfs count="101">
    <xf numFmtId="0" fontId="0" fillId="0" borderId="0" applyFill="0"/>
    <xf numFmtId="0" fontId="1" fillId="0" borderId="0" applyFill="0">
      <alignment horizontal="left" vertical="top" wrapText="1"/>
    </xf>
    <xf numFmtId="0" fontId="2" fillId="0" borderId="0" applyFill="0">
      <alignment horizontal="left" vertical="top" wrapText="1"/>
    </xf>
    <xf numFmtId="0" fontId="2" fillId="0" borderId="0" applyFill="0">
      <alignment horizontal="left" vertical="top" wrapText="1"/>
    </xf>
    <xf numFmtId="0" fontId="2" fillId="0" borderId="0" applyFill="0">
      <alignment horizontal="left" vertical="top" wrapText="1"/>
    </xf>
    <xf numFmtId="0" fontId="2" fillId="0" borderId="0" applyFill="0">
      <alignment horizontal="left" vertical="top" wrapText="1"/>
    </xf>
    <xf numFmtId="0" fontId="3" fillId="2" borderId="0">
      <alignment horizontal="left" vertical="top" wrapText="1"/>
    </xf>
    <xf numFmtId="0" fontId="2" fillId="0" borderId="0" applyFill="0">
      <alignment horizontal="left" vertical="top" wrapText="1"/>
    </xf>
    <xf numFmtId="0" fontId="2" fillId="0" borderId="0" applyFill="0">
      <alignment horizontal="left" vertical="top" wrapText="1"/>
    </xf>
    <xf numFmtId="0" fontId="2" fillId="0" borderId="0" applyFill="0">
      <alignment horizontal="left" vertical="top" wrapText="1"/>
    </xf>
    <xf numFmtId="0" fontId="4" fillId="0" borderId="0" applyFill="0">
      <alignment horizontal="left" vertical="top" wrapText="1"/>
    </xf>
    <xf numFmtId="0" fontId="2" fillId="0" borderId="0" applyFill="0">
      <alignment horizontal="left" vertical="top" wrapText="1"/>
    </xf>
    <xf numFmtId="0" fontId="2" fillId="0" borderId="0" applyFill="0">
      <alignment horizontal="left" vertical="top" wrapText="1"/>
    </xf>
    <xf numFmtId="0" fontId="2" fillId="0" borderId="0" applyFill="0">
      <alignment horizontal="left" vertical="top" wrapText="1"/>
    </xf>
    <xf numFmtId="0" fontId="5" fillId="0" borderId="0" applyFill="0">
      <alignment horizontal="left" vertical="top" wrapText="1"/>
    </xf>
    <xf numFmtId="0" fontId="2" fillId="0" borderId="0" applyFill="0">
      <alignment horizontal="left" vertical="top" wrapText="1"/>
    </xf>
    <xf numFmtId="0" fontId="2" fillId="0" borderId="0" applyFill="0">
      <alignment horizontal="left" vertical="top" wrapText="1"/>
    </xf>
    <xf numFmtId="0" fontId="2" fillId="0" borderId="0" applyFill="0">
      <alignment horizontal="left" vertical="top" wrapText="1"/>
    </xf>
    <xf numFmtId="0" fontId="6" fillId="0" borderId="0" applyFill="0">
      <alignment horizontal="left" vertical="top" wrapText="1" indent="1"/>
    </xf>
    <xf numFmtId="0" fontId="2" fillId="0" borderId="0" applyFill="0">
      <alignment horizontal="left" vertical="top" wrapText="1" indent="1"/>
    </xf>
    <xf numFmtId="0" fontId="2" fillId="0" borderId="0" applyFill="0">
      <alignment horizontal="left" vertical="top" wrapText="1" indent="1"/>
    </xf>
    <xf numFmtId="0" fontId="2" fillId="0" borderId="0" applyFill="0">
      <alignment horizontal="left" vertical="top" wrapText="1"/>
    </xf>
    <xf numFmtId="0" fontId="7" fillId="0" borderId="0" applyFill="0">
      <alignment horizontal="left" vertical="top" wrapText="1" indent="1"/>
    </xf>
    <xf numFmtId="0" fontId="2" fillId="0" borderId="0" applyFill="0">
      <alignment horizontal="left" vertical="top" wrapText="1" indent="1"/>
    </xf>
    <xf numFmtId="0" fontId="2" fillId="0" borderId="0" applyFill="0">
      <alignment horizontal="left" vertical="top" wrapText="1"/>
    </xf>
    <xf numFmtId="0" fontId="2" fillId="0" borderId="0" applyFill="0">
      <alignment horizontal="left" vertical="top" wrapText="1"/>
    </xf>
    <xf numFmtId="0" fontId="8" fillId="0" borderId="0" applyFill="0">
      <alignment horizontal="left" vertical="top" wrapText="1" indent="2"/>
    </xf>
    <xf numFmtId="0" fontId="7" fillId="0" borderId="0" applyFill="0">
      <alignment horizontal="left" vertical="top" wrapText="1" indent="2"/>
    </xf>
    <xf numFmtId="0" fontId="2" fillId="0" borderId="0" applyFill="0">
      <alignment horizontal="left" vertical="top" wrapText="1" indent="1"/>
    </xf>
    <xf numFmtId="0" fontId="9" fillId="0" borderId="0" applyFill="0">
      <alignment horizontal="left" vertical="top" wrapText="1"/>
    </xf>
    <xf numFmtId="0" fontId="2" fillId="0" borderId="0" applyFill="0">
      <alignment horizontal="left" vertical="top" wrapText="1"/>
    </xf>
    <xf numFmtId="0" fontId="2" fillId="0" borderId="0" applyFill="0">
      <alignment horizontal="left" vertical="top" wrapText="1"/>
    </xf>
    <xf numFmtId="0" fontId="2" fillId="0" borderId="0" applyFill="0">
      <alignment horizontal="left" vertical="top" wrapText="1"/>
    </xf>
    <xf numFmtId="0" fontId="2" fillId="0" borderId="0" applyFill="0">
      <alignment horizontal="left" vertical="top" wrapText="1"/>
    </xf>
    <xf numFmtId="0" fontId="10" fillId="0" borderId="0" applyFill="0">
      <alignment horizontal="left" vertical="top" wrapText="1"/>
    </xf>
    <xf numFmtId="0" fontId="11" fillId="0" borderId="0" applyFill="0">
      <alignment horizontal="left" vertical="top" wrapText="1" indent="1"/>
    </xf>
    <xf numFmtId="0" fontId="12" fillId="0" borderId="0" applyFill="0">
      <alignment horizontal="left" vertical="top" wrapText="1" indent="1"/>
    </xf>
    <xf numFmtId="0" fontId="2" fillId="0" borderId="0" applyFill="0">
      <alignment horizontal="left" vertical="top" wrapText="1" indent="1"/>
    </xf>
    <xf numFmtId="0" fontId="2" fillId="0" borderId="0" applyFill="0">
      <alignment horizontal="left" vertical="top" wrapText="1" indent="1"/>
    </xf>
    <xf numFmtId="0" fontId="12" fillId="0" borderId="0" applyFill="0">
      <alignment horizontal="left" vertical="top" wrapText="1" indent="1"/>
    </xf>
    <xf numFmtId="0" fontId="12" fillId="0" borderId="0" applyFill="0">
      <alignment horizontal="left" vertical="top" wrapText="1" indent="1"/>
    </xf>
    <xf numFmtId="0" fontId="12" fillId="0" borderId="0" applyFill="0">
      <alignment horizontal="left" vertical="top" wrapText="1"/>
    </xf>
    <xf numFmtId="0" fontId="12" fillId="0" borderId="0" applyFill="0">
      <alignment horizontal="left" vertical="top" wrapText="1"/>
    </xf>
    <xf numFmtId="0" fontId="12" fillId="0" borderId="0" applyFill="0">
      <alignment horizontal="left" vertical="top" wrapText="1"/>
    </xf>
    <xf numFmtId="0" fontId="13" fillId="0" borderId="0" applyFill="0">
      <alignment horizontal="left" vertical="top" wrapText="1"/>
    </xf>
    <xf numFmtId="0" fontId="15" fillId="0" borderId="0"/>
    <xf numFmtId="0" fontId="17" fillId="3" borderId="0">
      <alignment horizontal="left" vertical="top" wrapText="1"/>
    </xf>
    <xf numFmtId="0" fontId="17" fillId="3" borderId="0">
      <alignment horizontal="left" vertical="top" wrapText="1"/>
    </xf>
    <xf numFmtId="0" fontId="17" fillId="3" borderId="0">
      <alignment horizontal="left" vertical="top" wrapText="1"/>
    </xf>
    <xf numFmtId="0" fontId="17" fillId="3" borderId="0">
      <alignment horizontal="left" vertical="top" wrapText="1"/>
    </xf>
    <xf numFmtId="0" fontId="17" fillId="3" borderId="0">
      <alignment horizontal="left" vertical="top" wrapText="1"/>
    </xf>
    <xf numFmtId="0" fontId="17" fillId="3" borderId="0">
      <alignment horizontal="left" vertical="top" wrapText="1"/>
    </xf>
    <xf numFmtId="0" fontId="17" fillId="3" borderId="0">
      <alignment horizontal="left" vertical="top" wrapText="1"/>
    </xf>
    <xf numFmtId="0" fontId="18" fillId="3" borderId="0">
      <alignment horizontal="left" vertical="top" wrapText="1"/>
    </xf>
    <xf numFmtId="49" fontId="19" fillId="3" borderId="0">
      <alignment horizontal="left" vertical="top" wrapText="1"/>
    </xf>
    <xf numFmtId="0" fontId="17" fillId="3" borderId="0">
      <alignment horizontal="left" vertical="top" wrapText="1"/>
    </xf>
    <xf numFmtId="0" fontId="17" fillId="3" borderId="0">
      <alignment horizontal="left" vertical="top" wrapText="1"/>
    </xf>
    <xf numFmtId="0" fontId="17" fillId="3" borderId="0">
      <alignment horizontal="left" vertical="top" wrapText="1"/>
    </xf>
    <xf numFmtId="0" fontId="17" fillId="3" borderId="0">
      <alignment horizontal="left" vertical="top" wrapText="1"/>
    </xf>
    <xf numFmtId="0" fontId="17" fillId="3" borderId="0">
      <alignment horizontal="left" vertical="top" wrapText="1"/>
    </xf>
    <xf numFmtId="0" fontId="17" fillId="3" borderId="0">
      <alignment horizontal="left" vertical="top" wrapText="1"/>
    </xf>
    <xf numFmtId="0" fontId="17" fillId="3" borderId="0">
      <alignment horizontal="left" vertical="top" wrapText="1"/>
    </xf>
    <xf numFmtId="0" fontId="17" fillId="3" borderId="0">
      <alignment horizontal="left" vertical="top" wrapText="1"/>
    </xf>
    <xf numFmtId="0" fontId="17" fillId="3" borderId="0">
      <alignment horizontal="left" vertical="top" wrapText="1"/>
    </xf>
    <xf numFmtId="0" fontId="17" fillId="3" borderId="0">
      <alignment horizontal="left" vertical="top" wrapText="1"/>
    </xf>
    <xf numFmtId="0" fontId="17" fillId="4" borderId="0">
      <alignment horizontal="left" vertical="top" wrapText="1"/>
    </xf>
    <xf numFmtId="0" fontId="20" fillId="4" borderId="0">
      <alignment horizontal="right" vertical="top" wrapText="1"/>
    </xf>
    <xf numFmtId="0" fontId="17" fillId="4" borderId="0">
      <alignment horizontal="left" vertical="top" wrapText="1"/>
    </xf>
    <xf numFmtId="0" fontId="17" fillId="4" borderId="0">
      <alignment horizontal="left" vertical="top" wrapText="1"/>
    </xf>
    <xf numFmtId="0" fontId="17" fillId="4" borderId="0">
      <alignment horizontal="left" vertical="top" wrapText="1"/>
    </xf>
    <xf numFmtId="49" fontId="21" fillId="4" borderId="0">
      <alignment horizontal="left" vertical="top" wrapText="1"/>
    </xf>
    <xf numFmtId="49" fontId="20" fillId="5" borderId="2">
      <alignment horizontal="left" vertical="top" wrapText="1"/>
    </xf>
    <xf numFmtId="49" fontId="20" fillId="4" borderId="0">
      <alignment horizontal="left" vertical="top" wrapText="1"/>
    </xf>
    <xf numFmtId="49" fontId="17" fillId="4" borderId="0">
      <alignment horizontal="left" vertical="top" wrapText="1"/>
    </xf>
    <xf numFmtId="49" fontId="17" fillId="4" borderId="0">
      <alignment horizontal="left" vertical="top" wrapText="1"/>
    </xf>
    <xf numFmtId="0" fontId="22" fillId="3" borderId="0">
      <alignment horizontal="left" vertical="top" wrapText="1"/>
    </xf>
    <xf numFmtId="0" fontId="22" fillId="3" borderId="0">
      <alignment horizontal="left" vertical="top" wrapText="1"/>
    </xf>
    <xf numFmtId="0" fontId="22" fillId="3" borderId="0">
      <alignment horizontal="left" vertical="top" wrapText="1"/>
    </xf>
    <xf numFmtId="49" fontId="23" fillId="3" borderId="0">
      <alignment vertical="top" wrapText="1"/>
    </xf>
    <xf numFmtId="164" fontId="16" fillId="0" borderId="0" applyFont="0" applyFill="0" applyBorder="0" applyAlignment="0" applyProtection="0"/>
    <xf numFmtId="0" fontId="22" fillId="3" borderId="0">
      <alignment horizontal="left" vertical="top"/>
    </xf>
    <xf numFmtId="0" fontId="22" fillId="3" borderId="0">
      <alignment horizontal="left" vertical="top"/>
    </xf>
    <xf numFmtId="0" fontId="22" fillId="3" borderId="0">
      <alignment horizontal="left" vertical="top" wrapText="1"/>
    </xf>
    <xf numFmtId="0" fontId="22" fillId="3" borderId="0">
      <alignment horizontal="left" vertical="top" wrapText="1"/>
    </xf>
    <xf numFmtId="0" fontId="22" fillId="3" borderId="0">
      <alignment horizontal="left" vertical="top" wrapText="1"/>
    </xf>
    <xf numFmtId="0" fontId="22" fillId="3" borderId="0">
      <alignment horizontal="left" vertical="top" wrapText="1"/>
    </xf>
    <xf numFmtId="0" fontId="21" fillId="4" borderId="0">
      <alignment horizontal="left" vertical="top" wrapText="1"/>
    </xf>
    <xf numFmtId="0" fontId="17" fillId="4" borderId="0">
      <alignment horizontal="left" vertical="top" wrapText="1"/>
    </xf>
    <xf numFmtId="49" fontId="24" fillId="4" borderId="0">
      <alignment horizontal="left" vertical="top" wrapText="1"/>
    </xf>
    <xf numFmtId="49" fontId="17" fillId="4" borderId="0">
      <alignment horizontal="left" vertical="top" wrapText="1"/>
    </xf>
    <xf numFmtId="0" fontId="22" fillId="3" borderId="0">
      <alignment horizontal="left" vertical="top" wrapText="1"/>
    </xf>
    <xf numFmtId="0" fontId="22" fillId="3" borderId="0">
      <alignment horizontal="left" vertical="top" wrapText="1"/>
    </xf>
    <xf numFmtId="49" fontId="17" fillId="3" borderId="0">
      <alignment horizontal="left" vertical="top"/>
    </xf>
    <xf numFmtId="40" fontId="16" fillId="0" borderId="0" applyFont="0" applyFill="0" applyBorder="0" applyAlignment="0" applyProtection="0"/>
    <xf numFmtId="0" fontId="14" fillId="0" borderId="0"/>
    <xf numFmtId="0" fontId="16" fillId="0" borderId="0"/>
    <xf numFmtId="0" fontId="14" fillId="0" borderId="0">
      <alignment vertical="top"/>
    </xf>
    <xf numFmtId="0" fontId="17" fillId="3" borderId="1">
      <alignment horizontal="left" vertical="top" wrapText="1"/>
    </xf>
    <xf numFmtId="0" fontId="17" fillId="3" borderId="0">
      <alignment horizontal="left" vertical="top" wrapText="1"/>
    </xf>
    <xf numFmtId="0" fontId="22" fillId="3" borderId="0">
      <alignment horizontal="left" vertical="top"/>
    </xf>
    <xf numFmtId="43" fontId="14" fillId="0" borderId="0" applyFont="0" applyFill="0" applyBorder="0" applyAlignment="0" applyProtection="0"/>
  </cellStyleXfs>
  <cellXfs count="200">
    <xf numFmtId="0" fontId="0" fillId="0" borderId="0" xfId="0"/>
    <xf numFmtId="0" fontId="25" fillId="0" borderId="2" xfId="94" applyFont="1" applyBorder="1" applyAlignment="1">
      <alignment horizontal="center" vertical="center" wrapText="1"/>
    </xf>
    <xf numFmtId="0" fontId="25" fillId="0" borderId="2" xfId="94" applyFont="1" applyBorder="1" applyAlignment="1">
      <alignment vertical="center" wrapText="1"/>
    </xf>
    <xf numFmtId="0" fontId="29" fillId="0" borderId="2" xfId="45" applyFont="1" applyBorder="1" applyAlignment="1">
      <alignment vertical="center" wrapText="1"/>
    </xf>
    <xf numFmtId="0" fontId="29" fillId="0" borderId="2" xfId="45" applyFont="1" applyBorder="1" applyAlignment="1">
      <alignment horizontal="center" vertical="center" wrapText="1"/>
    </xf>
    <xf numFmtId="3" fontId="29" fillId="6" borderId="3" xfId="45" applyNumberFormat="1" applyFont="1" applyFill="1" applyBorder="1" applyAlignment="1">
      <alignment horizontal="center" vertical="center"/>
    </xf>
    <xf numFmtId="0" fontId="29" fillId="0" borderId="2" xfId="94" applyFont="1" applyBorder="1" applyAlignment="1">
      <alignment horizontal="center" vertical="center" wrapText="1"/>
    </xf>
    <xf numFmtId="2" fontId="29" fillId="0" borderId="2" xfId="94" applyNumberFormat="1" applyFont="1" applyBorder="1" applyAlignment="1">
      <alignment horizontal="right" vertical="center" wrapText="1"/>
    </xf>
    <xf numFmtId="0" fontId="29" fillId="0" borderId="3" xfId="45" applyFont="1" applyBorder="1" applyAlignment="1">
      <alignment horizontal="center" vertical="center" wrapText="1"/>
    </xf>
    <xf numFmtId="0" fontId="29" fillId="0" borderId="3" xfId="45" applyFont="1" applyBorder="1" applyAlignment="1">
      <alignment horizontal="center" vertical="top" wrapText="1"/>
    </xf>
    <xf numFmtId="0" fontId="25" fillId="0" borderId="0" xfId="45" applyFont="1" applyAlignment="1">
      <alignment vertical="center" wrapText="1"/>
    </xf>
    <xf numFmtId="0" fontId="25" fillId="0" borderId="3" xfId="94" applyFont="1" applyBorder="1" applyAlignment="1">
      <alignment horizontal="center" vertical="center" wrapText="1"/>
    </xf>
    <xf numFmtId="0" fontId="26" fillId="0" borderId="2" xfId="45" applyFont="1" applyBorder="1" applyAlignment="1">
      <alignment vertical="center" wrapText="1"/>
    </xf>
    <xf numFmtId="0" fontId="27" fillId="0" borderId="0" xfId="45" applyFont="1" applyAlignment="1">
      <alignment horizontal="left" vertical="center"/>
    </xf>
    <xf numFmtId="0" fontId="27" fillId="0" borderId="2" xfId="45" applyFont="1" applyBorder="1" applyAlignment="1">
      <alignment horizontal="left" vertical="top" wrapText="1"/>
    </xf>
    <xf numFmtId="3" fontId="33" fillId="0" borderId="3" xfId="45" applyNumberFormat="1" applyFont="1" applyBorder="1" applyAlignment="1">
      <alignment vertical="center" wrapText="1"/>
    </xf>
    <xf numFmtId="0" fontId="25" fillId="0" borderId="2" xfId="45" applyFont="1" applyBorder="1" applyAlignment="1">
      <alignment vertical="center" wrapText="1"/>
    </xf>
    <xf numFmtId="49" fontId="25" fillId="0" borderId="2" xfId="45" applyNumberFormat="1" applyFont="1" applyBorder="1" applyAlignment="1">
      <alignment horizontal="center" vertical="center" wrapText="1"/>
    </xf>
    <xf numFmtId="0" fontId="25" fillId="0" borderId="2" xfId="94" applyFont="1" applyBorder="1" applyAlignment="1">
      <alignment horizontal="left" vertical="center" wrapText="1"/>
    </xf>
    <xf numFmtId="0" fontId="25" fillId="0" borderId="2" xfId="94" quotePrefix="1" applyFont="1" applyBorder="1" applyAlignment="1">
      <alignment vertical="center" wrapText="1"/>
    </xf>
    <xf numFmtId="3" fontId="33" fillId="0" borderId="3" xfId="45" applyNumberFormat="1" applyFont="1" applyBorder="1" applyAlignment="1">
      <alignment vertical="center"/>
    </xf>
    <xf numFmtId="49" fontId="25" fillId="0" borderId="3" xfId="45" applyNumberFormat="1" applyFont="1" applyBorder="1" applyAlignment="1">
      <alignment horizontal="center" vertical="center" wrapText="1"/>
    </xf>
    <xf numFmtId="0" fontId="27" fillId="0" borderId="2" xfId="45" applyFont="1" applyBorder="1" applyAlignment="1">
      <alignment vertical="center"/>
    </xf>
    <xf numFmtId="49" fontId="25" fillId="0" borderId="2" xfId="45" applyNumberFormat="1" applyFont="1" applyBorder="1" applyAlignment="1">
      <alignment horizontal="center" vertical="center"/>
    </xf>
    <xf numFmtId="0" fontId="30" fillId="0" borderId="2" xfId="45" applyFont="1" applyBorder="1" applyAlignment="1">
      <alignment vertical="top" wrapText="1"/>
    </xf>
    <xf numFmtId="0" fontId="27" fillId="0" borderId="2" xfId="45" applyFont="1" applyBorder="1" applyAlignment="1">
      <alignment horizontal="left" vertical="center" wrapText="1"/>
    </xf>
    <xf numFmtId="3" fontId="33" fillId="0" borderId="2" xfId="45" applyNumberFormat="1" applyFont="1" applyBorder="1" applyAlignment="1">
      <alignment vertical="center" wrapText="1"/>
    </xf>
    <xf numFmtId="0" fontId="27" fillId="0" borderId="2" xfId="45" applyFont="1" applyBorder="1" applyAlignment="1">
      <alignment vertical="center" wrapText="1"/>
    </xf>
    <xf numFmtId="0" fontId="32" fillId="0" borderId="3" xfId="45" applyFont="1" applyBorder="1" applyAlignment="1">
      <alignment horizontal="center" vertical="center"/>
    </xf>
    <xf numFmtId="0" fontId="32" fillId="0" borderId="2" xfId="45" applyFont="1" applyBorder="1" applyAlignment="1">
      <alignment horizontal="center" vertical="center"/>
    </xf>
    <xf numFmtId="0" fontId="27" fillId="0" borderId="3" xfId="45" applyFont="1" applyBorder="1" applyAlignment="1">
      <alignment horizontal="center" vertical="center"/>
    </xf>
    <xf numFmtId="0" fontId="26" fillId="0" borderId="2" xfId="45" applyFont="1" applyBorder="1" applyAlignment="1">
      <alignment horizontal="left" vertical="top" wrapText="1"/>
    </xf>
    <xf numFmtId="49" fontId="34" fillId="0" borderId="2" xfId="45" applyNumberFormat="1" applyFont="1" applyBorder="1" applyAlignment="1">
      <alignment horizontal="center" vertical="center" wrapText="1"/>
    </xf>
    <xf numFmtId="49" fontId="25" fillId="0" borderId="4" xfId="45" applyNumberFormat="1" applyFont="1" applyBorder="1" applyAlignment="1">
      <alignment horizontal="center" vertical="center" wrapText="1"/>
    </xf>
    <xf numFmtId="0" fontId="25" fillId="0" borderId="4" xfId="45" applyFont="1" applyBorder="1" applyAlignment="1">
      <alignment vertical="center" wrapText="1"/>
    </xf>
    <xf numFmtId="0" fontId="25" fillId="0" borderId="2" xfId="45" applyFont="1" applyBorder="1" applyAlignment="1">
      <alignment horizontal="left" vertical="center" wrapText="1"/>
    </xf>
    <xf numFmtId="3" fontId="25" fillId="0" borderId="3" xfId="45" applyNumberFormat="1" applyFont="1" applyBorder="1" applyAlignment="1">
      <alignment horizontal="left" vertical="top" wrapText="1"/>
    </xf>
    <xf numFmtId="0" fontId="27" fillId="0" borderId="2" xfId="45" applyFont="1" applyBorder="1" applyAlignment="1">
      <alignment horizontal="left" vertical="center"/>
    </xf>
    <xf numFmtId="0" fontId="25" fillId="0" borderId="2" xfId="45" applyFont="1" applyBorder="1" applyAlignment="1">
      <alignment horizontal="left" vertical="center"/>
    </xf>
    <xf numFmtId="49" fontId="25" fillId="0" borderId="5" xfId="45" applyNumberFormat="1" applyFont="1" applyBorder="1" applyAlignment="1">
      <alignment horizontal="center" vertical="center" wrapText="1"/>
    </xf>
    <xf numFmtId="0" fontId="27" fillId="0" borderId="5" xfId="45" applyFont="1" applyBorder="1" applyAlignment="1">
      <alignment vertical="center" wrapText="1"/>
    </xf>
    <xf numFmtId="49" fontId="36" fillId="0" borderId="3" xfId="45" applyNumberFormat="1" applyFont="1" applyBorder="1" applyAlignment="1">
      <alignment horizontal="center" vertical="center" wrapText="1"/>
    </xf>
    <xf numFmtId="0" fontId="29" fillId="0" borderId="2" xfId="45" applyFont="1" applyBorder="1" applyAlignment="1">
      <alignment vertical="top" wrapText="1"/>
    </xf>
    <xf numFmtId="0" fontId="29" fillId="0" borderId="2" xfId="45" applyFont="1" applyBorder="1" applyAlignment="1">
      <alignment horizontal="left" vertical="top" wrapText="1"/>
    </xf>
    <xf numFmtId="0" fontId="29" fillId="0" borderId="2" xfId="45" applyFont="1" applyBorder="1" applyAlignment="1">
      <alignment horizontal="left" vertical="top" wrapText="1" indent="1"/>
    </xf>
    <xf numFmtId="0" fontId="29" fillId="0" borderId="0" xfId="45" applyFont="1" applyAlignment="1">
      <alignment horizontal="left" vertical="top" wrapText="1" indent="1"/>
    </xf>
    <xf numFmtId="0" fontId="29" fillId="0" borderId="0" xfId="45" applyFont="1" applyAlignment="1">
      <alignment vertical="center" wrapText="1"/>
    </xf>
    <xf numFmtId="3" fontId="29" fillId="0" borderId="2" xfId="45" applyNumberFormat="1" applyFont="1" applyBorder="1" applyAlignment="1">
      <alignment vertical="center" wrapText="1"/>
    </xf>
    <xf numFmtId="0" fontId="29" fillId="0" borderId="2" xfId="45" applyFont="1" applyBorder="1" applyAlignment="1">
      <alignment horizontal="left" vertical="center" wrapText="1"/>
    </xf>
    <xf numFmtId="0" fontId="31" fillId="0" borderId="2" xfId="45" applyFont="1" applyBorder="1" applyAlignment="1">
      <alignment vertical="center" wrapText="1"/>
    </xf>
    <xf numFmtId="0" fontId="28" fillId="0" borderId="2" xfId="45" applyFont="1" applyBorder="1" applyAlignment="1">
      <alignment vertical="center" wrapText="1"/>
    </xf>
    <xf numFmtId="0" fontId="28" fillId="0" borderId="2" xfId="45" applyFont="1" applyBorder="1" applyAlignment="1">
      <alignment horizontal="left" vertical="top" wrapText="1"/>
    </xf>
    <xf numFmtId="0" fontId="29" fillId="0" borderId="2" xfId="45" applyFont="1" applyBorder="1" applyAlignment="1">
      <alignment horizontal="center" vertical="center"/>
    </xf>
    <xf numFmtId="3" fontId="29" fillId="0" borderId="3" xfId="45" applyNumberFormat="1" applyFont="1" applyBorder="1" applyAlignment="1">
      <alignment horizontal="center" vertical="center"/>
    </xf>
    <xf numFmtId="40" fontId="29" fillId="0" borderId="3" xfId="93" applyFont="1" applyBorder="1" applyAlignment="1">
      <alignment horizontal="right" vertical="center"/>
    </xf>
    <xf numFmtId="2" fontId="29" fillId="0" borderId="2" xfId="94" applyNumberFormat="1" applyFont="1" applyBorder="1" applyAlignment="1">
      <alignment horizontal="center" vertical="center" wrapText="1"/>
    </xf>
    <xf numFmtId="3" fontId="29" fillId="0" borderId="3" xfId="94" applyNumberFormat="1" applyFont="1" applyBorder="1" applyAlignment="1">
      <alignment horizontal="center" vertical="center" wrapText="1"/>
    </xf>
    <xf numFmtId="0" fontId="29" fillId="0" borderId="2" xfId="45" applyFont="1" applyBorder="1" applyAlignment="1">
      <alignment horizontal="center" vertical="top" wrapText="1"/>
    </xf>
    <xf numFmtId="0" fontId="37" fillId="0" borderId="3" xfId="45" applyFont="1" applyBorder="1" applyAlignment="1">
      <alignment horizontal="center" vertical="center" wrapText="1"/>
    </xf>
    <xf numFmtId="1" fontId="29" fillId="0" borderId="3" xfId="45" applyNumberFormat="1" applyFont="1" applyBorder="1" applyAlignment="1">
      <alignment horizontal="center" vertical="center" wrapText="1"/>
    </xf>
    <xf numFmtId="0" fontId="29" fillId="0" borderId="2" xfId="45" applyFont="1" applyBorder="1" applyAlignment="1">
      <alignment horizontal="left" vertical="center"/>
    </xf>
    <xf numFmtId="40" fontId="29" fillId="0" borderId="3" xfId="93" applyFont="1" applyFill="1" applyBorder="1" applyAlignment="1">
      <alignment horizontal="right" vertical="center"/>
    </xf>
    <xf numFmtId="0" fontId="29" fillId="0" borderId="4" xfId="45" applyFont="1" applyBorder="1" applyAlignment="1">
      <alignment horizontal="center" vertical="center" wrapText="1"/>
    </xf>
    <xf numFmtId="3" fontId="29" fillId="0" borderId="4" xfId="45" applyNumberFormat="1" applyFont="1" applyBorder="1" applyAlignment="1">
      <alignment horizontal="center" vertical="center"/>
    </xf>
    <xf numFmtId="8" fontId="29" fillId="0" borderId="3" xfId="93" applyNumberFormat="1" applyFont="1" applyFill="1" applyBorder="1" applyAlignment="1">
      <alignment horizontal="center" vertical="center"/>
    </xf>
    <xf numFmtId="8" fontId="29" fillId="0" borderId="4" xfId="93" applyNumberFormat="1" applyFont="1" applyFill="1" applyBorder="1" applyAlignment="1">
      <alignment horizontal="center" vertical="center"/>
    </xf>
    <xf numFmtId="0" fontId="29" fillId="0" borderId="5" xfId="45" applyFont="1" applyBorder="1" applyAlignment="1">
      <alignment horizontal="center" vertical="center" wrapText="1"/>
    </xf>
    <xf numFmtId="3" fontId="29" fillId="0" borderId="5" xfId="45" applyNumberFormat="1" applyFont="1" applyBorder="1" applyAlignment="1">
      <alignment horizontal="center" vertical="center"/>
    </xf>
    <xf numFmtId="40" fontId="29" fillId="0" borderId="5" xfId="93" applyFont="1" applyFill="1" applyBorder="1" applyAlignment="1">
      <alignment horizontal="right" vertical="center"/>
    </xf>
    <xf numFmtId="40" fontId="29" fillId="0" borderId="5" xfId="93" applyFont="1" applyFill="1" applyBorder="1" applyAlignment="1">
      <alignment vertical="center"/>
    </xf>
    <xf numFmtId="7" fontId="14" fillId="0" borderId="3" xfId="100" applyNumberFormat="1" applyBorder="1" applyAlignment="1">
      <alignment horizontal="center" vertical="center"/>
    </xf>
    <xf numFmtId="7" fontId="14" fillId="0" borderId="9" xfId="100" applyNumberFormat="1" applyBorder="1" applyAlignment="1">
      <alignment horizontal="center" vertical="center"/>
    </xf>
    <xf numFmtId="7" fontId="14" fillId="0" borderId="3" xfId="100" applyNumberFormat="1" applyBorder="1" applyAlignment="1">
      <alignment horizontal="right" vertical="center" wrapText="1"/>
    </xf>
    <xf numFmtId="7" fontId="14" fillId="0" borderId="3" xfId="100" applyNumberFormat="1" applyBorder="1" applyAlignment="1">
      <alignment horizontal="center" vertical="center" wrapText="1"/>
    </xf>
    <xf numFmtId="7" fontId="14" fillId="0" borderId="10" xfId="100" applyNumberFormat="1" applyBorder="1" applyAlignment="1">
      <alignment horizontal="center" vertical="center"/>
    </xf>
    <xf numFmtId="7" fontId="14" fillId="0" borderId="5" xfId="100" applyNumberFormat="1" applyBorder="1" applyAlignment="1">
      <alignment horizontal="center" vertical="center"/>
    </xf>
    <xf numFmtId="49" fontId="38" fillId="0" borderId="2" xfId="45" applyNumberFormat="1" applyFont="1" applyBorder="1" applyAlignment="1">
      <alignment horizontal="center" vertical="center" wrapText="1"/>
    </xf>
    <xf numFmtId="8" fontId="39" fillId="0" borderId="3" xfId="93" applyNumberFormat="1" applyFont="1" applyFill="1" applyBorder="1" applyAlignment="1">
      <alignment horizontal="center" vertical="center"/>
    </xf>
    <xf numFmtId="8" fontId="40" fillId="0" borderId="3" xfId="93" applyNumberFormat="1" applyFont="1" applyFill="1" applyBorder="1" applyAlignment="1">
      <alignment horizontal="center" vertical="center"/>
    </xf>
    <xf numFmtId="43" fontId="41" fillId="0" borderId="11" xfId="100" applyFont="1" applyBorder="1" applyAlignment="1">
      <alignment horizontal="left" vertical="top" wrapText="1"/>
    </xf>
    <xf numFmtId="43" fontId="41" fillId="0" borderId="13" xfId="100" applyFont="1" applyBorder="1" applyAlignment="1">
      <alignment horizontal="left" vertical="top" wrapText="1"/>
    </xf>
    <xf numFmtId="43" fontId="41" fillId="0" borderId="0" xfId="100" applyFont="1"/>
    <xf numFmtId="43" fontId="42" fillId="0" borderId="14" xfId="100" applyFont="1" applyBorder="1" applyAlignment="1">
      <alignment horizontal="center" vertical="top" wrapText="1"/>
    </xf>
    <xf numFmtId="43" fontId="41" fillId="0" borderId="15" xfId="100" applyFont="1" applyBorder="1" applyAlignment="1">
      <alignment horizontal="left" vertical="top" wrapText="1"/>
    </xf>
    <xf numFmtId="43" fontId="41" fillId="0" borderId="0" xfId="100" applyFont="1" applyAlignment="1">
      <alignment horizontal="left" vertical="top" wrapText="1"/>
    </xf>
    <xf numFmtId="43" fontId="44" fillId="0" borderId="9" xfId="100" applyFont="1" applyFill="1" applyBorder="1" applyAlignment="1">
      <alignment horizontal="left" vertical="top" wrapText="1"/>
    </xf>
    <xf numFmtId="43" fontId="41" fillId="0" borderId="9" xfId="100" applyFont="1" applyFill="1" applyBorder="1" applyAlignment="1">
      <alignment horizontal="left" vertical="top" wrapText="1"/>
    </xf>
    <xf numFmtId="165" fontId="41" fillId="0" borderId="9" xfId="100" applyNumberFormat="1" applyFont="1" applyFill="1" applyBorder="1" applyAlignment="1">
      <alignment horizontal="left" vertical="top" wrapText="1"/>
    </xf>
    <xf numFmtId="43" fontId="45" fillId="0" borderId="3" xfId="100" applyFont="1" applyFill="1" applyBorder="1" applyAlignment="1">
      <alignment horizontal="left" vertical="top" wrapText="1"/>
    </xf>
    <xf numFmtId="43" fontId="45" fillId="0" borderId="3" xfId="100" applyFont="1" applyFill="1" applyBorder="1" applyAlignment="1">
      <alignment horizontal="left" vertical="top" wrapText="1" indent="2"/>
    </xf>
    <xf numFmtId="43" fontId="41" fillId="0" borderId="3" xfId="100" applyFont="1" applyFill="1" applyBorder="1" applyAlignment="1" applyProtection="1">
      <alignment horizontal="center" vertical="top"/>
      <protection locked="0"/>
    </xf>
    <xf numFmtId="43" fontId="41" fillId="0" borderId="3" xfId="100" applyFont="1" applyFill="1" applyBorder="1" applyAlignment="1" applyProtection="1">
      <alignment horizontal="center" vertical="top" wrapText="1"/>
      <protection locked="0"/>
    </xf>
    <xf numFmtId="165" fontId="41" fillId="0" borderId="3" xfId="100" applyNumberFormat="1" applyFont="1" applyFill="1" applyBorder="1" applyAlignment="1" applyProtection="1">
      <alignment horizontal="center" vertical="top" wrapText="1"/>
      <protection locked="0"/>
    </xf>
    <xf numFmtId="43" fontId="44" fillId="0" borderId="3" xfId="100" applyFont="1" applyFill="1" applyBorder="1" applyAlignment="1">
      <alignment horizontal="left" vertical="top" wrapText="1"/>
    </xf>
    <xf numFmtId="43" fontId="41" fillId="0" borderId="3" xfId="100" applyFont="1" applyFill="1" applyBorder="1" applyAlignment="1">
      <alignment horizontal="left" vertical="top" wrapText="1"/>
    </xf>
    <xf numFmtId="165" fontId="41" fillId="0" borderId="3" xfId="100" applyNumberFormat="1" applyFont="1" applyFill="1" applyBorder="1" applyAlignment="1">
      <alignment horizontal="left" vertical="top" wrapText="1"/>
    </xf>
    <xf numFmtId="43" fontId="44" fillId="0" borderId="3" xfId="100" applyFont="1" applyFill="1" applyBorder="1" applyAlignment="1">
      <alignment horizontal="left" vertical="top" wrapText="1" indent="1"/>
    </xf>
    <xf numFmtId="43" fontId="45" fillId="0" borderId="3" xfId="100" applyFont="1" applyFill="1" applyBorder="1" applyAlignment="1">
      <alignment horizontal="left" vertical="top" wrapText="1" indent="1"/>
    </xf>
    <xf numFmtId="43" fontId="46" fillId="0" borderId="3" xfId="100" applyFont="1" applyFill="1" applyBorder="1" applyAlignment="1">
      <alignment horizontal="left" vertical="top" wrapText="1"/>
    </xf>
    <xf numFmtId="43" fontId="47" fillId="0" borderId="0" xfId="100" applyFont="1"/>
    <xf numFmtId="43" fontId="45" fillId="0" borderId="3" xfId="100" applyFont="1" applyFill="1" applyBorder="1" applyAlignment="1">
      <alignment horizontal="left" vertical="center" wrapText="1"/>
    </xf>
    <xf numFmtId="43" fontId="44" fillId="0" borderId="3" xfId="100" applyFont="1" applyFill="1" applyBorder="1" applyAlignment="1">
      <alignment horizontal="left" vertical="center" wrapText="1"/>
    </xf>
    <xf numFmtId="43" fontId="48" fillId="0" borderId="4" xfId="100" applyFont="1" applyFill="1" applyBorder="1" applyAlignment="1">
      <alignment horizontal="center" vertical="top" wrapText="1"/>
    </xf>
    <xf numFmtId="43" fontId="49" fillId="0" borderId="16" xfId="100" quotePrefix="1" applyFont="1" applyFill="1" applyBorder="1" applyAlignment="1">
      <alignment vertical="top" wrapText="1"/>
    </xf>
    <xf numFmtId="43" fontId="49" fillId="0" borderId="4" xfId="100" applyFont="1" applyFill="1" applyBorder="1" applyAlignment="1">
      <alignment horizontal="center" vertical="center" wrapText="1"/>
    </xf>
    <xf numFmtId="165" fontId="49" fillId="0" borderId="4" xfId="100" applyNumberFormat="1" applyFont="1" applyFill="1" applyBorder="1" applyAlignment="1">
      <alignment horizontal="right" vertical="center" wrapText="1"/>
    </xf>
    <xf numFmtId="43" fontId="48" fillId="0" borderId="17" xfId="100" applyFont="1" applyBorder="1" applyAlignment="1">
      <alignment horizontal="center" vertical="top" wrapText="1"/>
    </xf>
    <xf numFmtId="43" fontId="48" fillId="0" borderId="17" xfId="100" applyFont="1" applyBorder="1" applyAlignment="1">
      <alignment vertical="top" wrapText="1"/>
    </xf>
    <xf numFmtId="43" fontId="49" fillId="0" borderId="17" xfId="100" applyFont="1" applyBorder="1" applyAlignment="1">
      <alignment horizontal="center" vertical="center" wrapText="1"/>
    </xf>
    <xf numFmtId="165" fontId="49" fillId="0" borderId="17" xfId="100" applyNumberFormat="1" applyFont="1" applyBorder="1" applyAlignment="1">
      <alignment horizontal="right" vertical="center" wrapText="1"/>
    </xf>
    <xf numFmtId="165" fontId="49" fillId="0" borderId="17" xfId="100" applyNumberFormat="1" applyFont="1" applyBorder="1" applyAlignment="1">
      <alignment vertical="center" wrapText="1"/>
    </xf>
    <xf numFmtId="43" fontId="50" fillId="8" borderId="3" xfId="100" applyFont="1" applyFill="1" applyBorder="1" applyAlignment="1">
      <alignment horizontal="left" vertical="top" wrapText="1"/>
    </xf>
    <xf numFmtId="43" fontId="48" fillId="0" borderId="3" xfId="100" applyFont="1" applyBorder="1" applyAlignment="1">
      <alignment vertical="top" wrapText="1"/>
    </xf>
    <xf numFmtId="43" fontId="41" fillId="0" borderId="3" xfId="100" applyFont="1" applyBorder="1"/>
    <xf numFmtId="165" fontId="41" fillId="0" borderId="3" xfId="100" applyNumberFormat="1" applyFont="1" applyBorder="1"/>
    <xf numFmtId="165" fontId="42" fillId="0" borderId="3" xfId="100" applyNumberFormat="1" applyFont="1" applyBorder="1" applyAlignment="1">
      <alignment horizontal="center" vertical="top" wrapText="1"/>
    </xf>
    <xf numFmtId="43" fontId="41" fillId="0" borderId="5" xfId="100" applyFont="1" applyBorder="1"/>
    <xf numFmtId="43" fontId="48" fillId="0" borderId="5" xfId="100" applyFont="1" applyBorder="1" applyAlignment="1">
      <alignment vertical="top" wrapText="1"/>
    </xf>
    <xf numFmtId="165" fontId="41" fillId="0" borderId="5" xfId="100" applyNumberFormat="1" applyFont="1" applyBorder="1"/>
    <xf numFmtId="165" fontId="42" fillId="0" borderId="5" xfId="100" applyNumberFormat="1" applyFont="1" applyBorder="1" applyAlignment="1">
      <alignment horizontal="center" vertical="top" wrapText="1"/>
    </xf>
    <xf numFmtId="43" fontId="42" fillId="0" borderId="0" xfId="100" applyFont="1" applyAlignment="1">
      <alignment horizontal="left" vertical="top" wrapText="1"/>
    </xf>
    <xf numFmtId="43" fontId="42" fillId="0" borderId="0" xfId="100" applyFont="1" applyAlignment="1">
      <alignment horizontal="center" vertical="top" wrapText="1"/>
    </xf>
    <xf numFmtId="43" fontId="48" fillId="0" borderId="3" xfId="100" applyFont="1" applyBorder="1" applyAlignment="1">
      <alignment horizontal="center" vertical="top" wrapText="1"/>
    </xf>
    <xf numFmtId="43" fontId="48" fillId="0" borderId="2" xfId="100" applyFont="1" applyFill="1" applyBorder="1" applyAlignment="1">
      <alignment vertical="top" wrapText="1"/>
    </xf>
    <xf numFmtId="43" fontId="48" fillId="0" borderId="9" xfId="100" applyFont="1" applyFill="1" applyBorder="1" applyAlignment="1">
      <alignment horizontal="center" vertical="top" wrapText="1"/>
    </xf>
    <xf numFmtId="43" fontId="48" fillId="0" borderId="3" xfId="100" applyFont="1" applyFill="1" applyBorder="1" applyAlignment="1">
      <alignment horizontal="center" vertical="top" wrapText="1"/>
    </xf>
    <xf numFmtId="43" fontId="49" fillId="0" borderId="3" xfId="100" applyFont="1" applyFill="1" applyBorder="1" applyAlignment="1">
      <alignment horizontal="right" vertical="top" wrapText="1"/>
    </xf>
    <xf numFmtId="43" fontId="49" fillId="0" borderId="3" xfId="100" applyFont="1" applyFill="1" applyBorder="1" applyAlignment="1">
      <alignment vertical="top" wrapText="1"/>
    </xf>
    <xf numFmtId="43" fontId="48" fillId="0" borderId="3" xfId="100" applyFont="1" applyFill="1" applyBorder="1" applyAlignment="1">
      <alignment horizontal="left" vertical="top" wrapText="1"/>
    </xf>
    <xf numFmtId="43" fontId="49" fillId="0" borderId="3" xfId="100" applyFont="1" applyFill="1" applyBorder="1" applyAlignment="1">
      <alignment horizontal="center" vertical="center" wrapText="1"/>
    </xf>
    <xf numFmtId="165" fontId="49" fillId="0" borderId="3" xfId="100" applyNumberFormat="1" applyFont="1" applyFill="1" applyBorder="1" applyAlignment="1">
      <alignment horizontal="right" vertical="center" wrapText="1"/>
    </xf>
    <xf numFmtId="165" fontId="49" fillId="0" borderId="3" xfId="100" applyNumberFormat="1" applyFont="1" applyFill="1" applyBorder="1" applyAlignment="1">
      <alignment vertical="center" wrapText="1"/>
    </xf>
    <xf numFmtId="43" fontId="48" fillId="0" borderId="2" xfId="100" applyFont="1" applyBorder="1" applyAlignment="1">
      <alignment horizontal="center" vertical="center" wrapText="1"/>
    </xf>
    <xf numFmtId="43" fontId="48" fillId="0" borderId="2" xfId="100" applyFont="1" applyFill="1" applyBorder="1" applyAlignment="1">
      <alignment vertical="center" wrapText="1"/>
    </xf>
    <xf numFmtId="43" fontId="49" fillId="0" borderId="2" xfId="100" applyFont="1" applyFill="1" applyBorder="1" applyAlignment="1">
      <alignment horizontal="center" vertical="center" wrapText="1"/>
    </xf>
    <xf numFmtId="165" fontId="49" fillId="0" borderId="3" xfId="100" applyNumberFormat="1" applyFont="1" applyFill="1" applyBorder="1" applyAlignment="1">
      <alignment horizontal="center" vertical="center" wrapText="1"/>
    </xf>
    <xf numFmtId="43" fontId="51" fillId="0" borderId="3" xfId="100" applyFont="1" applyFill="1" applyBorder="1" applyAlignment="1">
      <alignment horizontal="center" vertical="center" wrapText="1"/>
    </xf>
    <xf numFmtId="43" fontId="48" fillId="0" borderId="3" xfId="100" applyFont="1" applyFill="1" applyBorder="1" applyAlignment="1">
      <alignment horizontal="left" vertical="top"/>
    </xf>
    <xf numFmtId="43" fontId="49" fillId="0" borderId="3" xfId="100" applyFont="1" applyFill="1" applyBorder="1" applyAlignment="1">
      <alignment horizontal="center" vertical="center"/>
    </xf>
    <xf numFmtId="43" fontId="48" fillId="0" borderId="2" xfId="100" applyFont="1" applyFill="1" applyBorder="1" applyAlignment="1">
      <alignment horizontal="left" vertical="top"/>
    </xf>
    <xf numFmtId="43" fontId="49" fillId="0" borderId="3" xfId="100" quotePrefix="1" applyFont="1" applyFill="1" applyBorder="1" applyAlignment="1">
      <alignment vertical="top" wrapText="1"/>
    </xf>
    <xf numFmtId="43" fontId="48" fillId="0" borderId="2" xfId="100" applyFont="1" applyFill="1" applyBorder="1" applyAlignment="1">
      <alignment horizontal="center" vertical="center" wrapText="1"/>
    </xf>
    <xf numFmtId="43" fontId="49" fillId="0" borderId="2" xfId="100" applyFont="1" applyFill="1" applyBorder="1" applyAlignment="1">
      <alignment vertical="top" wrapText="1"/>
    </xf>
    <xf numFmtId="43" fontId="49" fillId="0" borderId="3" xfId="100" applyFont="1" applyFill="1" applyBorder="1" applyAlignment="1">
      <alignment horizontal="left" vertical="top" wrapText="1"/>
    </xf>
    <xf numFmtId="43" fontId="48" fillId="0" borderId="2" xfId="100" applyFont="1" applyFill="1" applyBorder="1" applyAlignment="1">
      <alignment horizontal="left" vertical="top" wrapText="1"/>
    </xf>
    <xf numFmtId="43" fontId="48" fillId="0" borderId="3" xfId="100" applyFont="1" applyFill="1" applyBorder="1" applyAlignment="1">
      <alignment vertical="center" wrapText="1"/>
    </xf>
    <xf numFmtId="43" fontId="49" fillId="0" borderId="2" xfId="100" applyFont="1" applyFill="1" applyBorder="1" applyAlignment="1">
      <alignment vertical="center" wrapText="1"/>
    </xf>
    <xf numFmtId="43" fontId="49" fillId="0" borderId="2" xfId="100" applyFont="1" applyFill="1" applyBorder="1" applyAlignment="1">
      <alignment horizontal="left" vertical="top" wrapText="1"/>
    </xf>
    <xf numFmtId="43" fontId="49" fillId="0" borderId="0" xfId="100" applyFont="1" applyFill="1" applyAlignment="1">
      <alignment horizontal="center" vertical="center"/>
    </xf>
    <xf numFmtId="43" fontId="48" fillId="0" borderId="2" xfId="100" applyFont="1" applyBorder="1" applyAlignment="1">
      <alignment horizontal="center" vertical="center"/>
    </xf>
    <xf numFmtId="43" fontId="52" fillId="0" borderId="2" xfId="100" applyFont="1" applyFill="1" applyBorder="1" applyAlignment="1">
      <alignment horizontal="left" vertical="top" wrapText="1"/>
    </xf>
    <xf numFmtId="43" fontId="49" fillId="0" borderId="3" xfId="100" applyFont="1" applyFill="1" applyBorder="1" applyAlignment="1">
      <alignment horizontal="center" vertical="top" wrapText="1"/>
    </xf>
    <xf numFmtId="43" fontId="48" fillId="9" borderId="2" xfId="100" applyFont="1" applyFill="1" applyBorder="1" applyAlignment="1">
      <alignment horizontal="center" vertical="center" wrapText="1"/>
    </xf>
    <xf numFmtId="43" fontId="48" fillId="0" borderId="2" xfId="100" quotePrefix="1" applyFont="1" applyFill="1" applyBorder="1" applyAlignment="1">
      <alignment vertical="top" wrapText="1"/>
    </xf>
    <xf numFmtId="43" fontId="49" fillId="0" borderId="2" xfId="100" quotePrefix="1" applyFont="1" applyFill="1" applyBorder="1" applyAlignment="1">
      <alignment vertical="top" wrapText="1"/>
    </xf>
    <xf numFmtId="43" fontId="48" fillId="10" borderId="3" xfId="100" applyFont="1" applyFill="1" applyBorder="1" applyAlignment="1">
      <alignment horizontal="center" vertical="top" wrapText="1"/>
    </xf>
    <xf numFmtId="43" fontId="48" fillId="0" borderId="0" xfId="100" applyFont="1" applyFill="1" applyAlignment="1">
      <alignment vertical="top" wrapText="1"/>
    </xf>
    <xf numFmtId="43" fontId="49" fillId="0" borderId="3" xfId="100" applyFont="1" applyFill="1" applyBorder="1" applyAlignment="1">
      <alignment horizontal="right" vertical="center" wrapText="1"/>
    </xf>
    <xf numFmtId="43" fontId="49" fillId="0" borderId="3" xfId="100" applyFont="1" applyFill="1" applyBorder="1" applyAlignment="1">
      <alignment vertical="center" wrapText="1"/>
    </xf>
    <xf numFmtId="43" fontId="49" fillId="0" borderId="18" xfId="100" applyFont="1" applyFill="1" applyBorder="1" applyAlignment="1">
      <alignment horizontal="center" vertical="center" wrapText="1"/>
    </xf>
    <xf numFmtId="43" fontId="49" fillId="0" borderId="18" xfId="100" applyFont="1" applyFill="1" applyBorder="1" applyAlignment="1">
      <alignment horizontal="center" vertical="center"/>
    </xf>
    <xf numFmtId="43" fontId="48" fillId="0" borderId="0" xfId="100" applyFont="1" applyFill="1" applyAlignment="1">
      <alignment horizontal="justify" vertical="center"/>
    </xf>
    <xf numFmtId="43" fontId="49" fillId="0" borderId="0" xfId="100" applyFont="1" applyFill="1" applyAlignment="1">
      <alignment wrapText="1"/>
    </xf>
    <xf numFmtId="165" fontId="41" fillId="0" borderId="3" xfId="100" applyNumberFormat="1" applyFont="1" applyFill="1" applyBorder="1" applyAlignment="1" applyProtection="1">
      <alignment horizontal="center" vertical="center" wrapText="1"/>
      <protection locked="0"/>
    </xf>
    <xf numFmtId="43" fontId="41" fillId="0" borderId="2" xfId="100" applyFont="1" applyBorder="1"/>
    <xf numFmtId="43" fontId="48" fillId="0" borderId="2" xfId="100" applyFont="1" applyBorder="1" applyAlignment="1">
      <alignment vertical="top" wrapText="1"/>
    </xf>
    <xf numFmtId="165" fontId="41" fillId="0" borderId="3" xfId="100" applyNumberFormat="1" applyFont="1" applyBorder="1" applyAlignment="1" applyProtection="1">
      <alignment horizontal="center" vertical="top" wrapText="1"/>
      <protection locked="0"/>
    </xf>
    <xf numFmtId="165" fontId="49" fillId="0" borderId="3" xfId="100" applyNumberFormat="1" applyFont="1" applyBorder="1" applyAlignment="1">
      <alignment vertical="center" wrapText="1"/>
    </xf>
    <xf numFmtId="43" fontId="48" fillId="0" borderId="3" xfId="100" applyFont="1" applyBorder="1" applyAlignment="1">
      <alignment horizontal="left" vertical="top"/>
    </xf>
    <xf numFmtId="43" fontId="49" fillId="0" borderId="3" xfId="100" applyFont="1" applyBorder="1" applyAlignment="1">
      <alignment horizontal="center" vertical="center" wrapText="1"/>
    </xf>
    <xf numFmtId="43" fontId="49" fillId="0" borderId="3" xfId="100" applyFont="1" applyBorder="1" applyAlignment="1">
      <alignment horizontal="center" vertical="center"/>
    </xf>
    <xf numFmtId="43" fontId="48" fillId="0" borderId="3" xfId="100" applyFont="1" applyBorder="1" applyAlignment="1">
      <alignment horizontal="left" vertical="top" wrapText="1"/>
    </xf>
    <xf numFmtId="43" fontId="48" fillId="0" borderId="4" xfId="100" applyFont="1" applyBorder="1" applyAlignment="1">
      <alignment horizontal="center" vertical="top" wrapText="1"/>
    </xf>
    <xf numFmtId="43" fontId="49" fillId="0" borderId="16" xfId="100" quotePrefix="1" applyFont="1" applyBorder="1" applyAlignment="1">
      <alignment vertical="top" wrapText="1"/>
    </xf>
    <xf numFmtId="43" fontId="49" fillId="0" borderId="4" xfId="100" applyFont="1" applyBorder="1" applyAlignment="1">
      <alignment horizontal="center" vertical="center" wrapText="1"/>
    </xf>
    <xf numFmtId="165" fontId="49" fillId="0" borderId="4" xfId="100" applyNumberFormat="1" applyFont="1" applyBorder="1" applyAlignment="1">
      <alignment vertical="center" wrapText="1"/>
    </xf>
    <xf numFmtId="43" fontId="48" fillId="0" borderId="3" xfId="100" applyFont="1" applyBorder="1" applyAlignment="1">
      <alignment vertical="center" wrapText="1"/>
    </xf>
    <xf numFmtId="165" fontId="48" fillId="0" borderId="3" xfId="100" applyNumberFormat="1" applyFont="1" applyFill="1" applyBorder="1" applyAlignment="1">
      <alignment horizontal="center" vertical="center"/>
    </xf>
    <xf numFmtId="43" fontId="53" fillId="0" borderId="2" xfId="100" applyFont="1" applyBorder="1" applyAlignment="1">
      <alignment horizontal="center" vertical="center" wrapText="1"/>
    </xf>
    <xf numFmtId="165" fontId="49" fillId="0" borderId="3" xfId="100" applyNumberFormat="1" applyFont="1" applyFill="1" applyBorder="1" applyAlignment="1">
      <alignment horizontal="center" vertical="center"/>
    </xf>
    <xf numFmtId="43" fontId="48" fillId="0" borderId="19" xfId="100" applyFont="1" applyBorder="1" applyAlignment="1">
      <alignment horizontal="center" vertical="center" wrapText="1"/>
    </xf>
    <xf numFmtId="43" fontId="48" fillId="0" borderId="5" xfId="100" applyFont="1" applyBorder="1" applyAlignment="1">
      <alignment vertical="center" wrapText="1"/>
    </xf>
    <xf numFmtId="43" fontId="49" fillId="0" borderId="5" xfId="100" applyFont="1" applyBorder="1" applyAlignment="1">
      <alignment horizontal="center" vertical="center" wrapText="1"/>
    </xf>
    <xf numFmtId="43" fontId="49" fillId="0" borderId="5" xfId="100" applyFont="1" applyBorder="1" applyAlignment="1">
      <alignment horizontal="center" vertical="center"/>
    </xf>
    <xf numFmtId="165" fontId="48" fillId="0" borderId="5" xfId="100" applyNumberFormat="1" applyFont="1" applyFill="1" applyBorder="1" applyAlignment="1">
      <alignment horizontal="center" vertical="center"/>
    </xf>
    <xf numFmtId="7" fontId="14" fillId="0" borderId="21" xfId="100" applyNumberFormat="1" applyBorder="1" applyAlignment="1">
      <alignment horizontal="center" vertical="center"/>
    </xf>
    <xf numFmtId="40" fontId="29" fillId="0" borderId="20" xfId="93" applyFont="1" applyBorder="1" applyAlignment="1">
      <alignment vertical="center"/>
    </xf>
    <xf numFmtId="0" fontId="35" fillId="7" borderId="6" xfId="6" applyFont="1" applyFill="1" applyBorder="1" applyAlignment="1">
      <alignment horizontal="left" vertical="center" wrapText="1"/>
    </xf>
    <xf numFmtId="0" fontId="35" fillId="7" borderId="8" xfId="6" applyFont="1" applyFill="1" applyBorder="1" applyAlignment="1">
      <alignment horizontal="left" vertical="center" wrapText="1"/>
    </xf>
    <xf numFmtId="0" fontId="35" fillId="7" borderId="7" xfId="6" applyFont="1" applyFill="1" applyBorder="1" applyAlignment="1">
      <alignment horizontal="left" vertical="center" wrapText="1"/>
    </xf>
    <xf numFmtId="43" fontId="41" fillId="0" borderId="11" xfId="100" applyFont="1" applyBorder="1" applyAlignment="1">
      <alignment horizontal="left" vertical="top" wrapText="1"/>
    </xf>
    <xf numFmtId="43" fontId="41" fillId="0" borderId="12" xfId="100" applyFont="1" applyBorder="1" applyAlignment="1">
      <alignment horizontal="left" vertical="top" wrapText="1"/>
    </xf>
    <xf numFmtId="43" fontId="41" fillId="0" borderId="13" xfId="100" applyFont="1" applyBorder="1" applyAlignment="1">
      <alignment horizontal="left" vertical="top" wrapText="1"/>
    </xf>
    <xf numFmtId="43" fontId="43" fillId="2" borderId="6" xfId="100" applyFont="1" applyFill="1" applyBorder="1" applyAlignment="1">
      <alignment horizontal="left" vertical="center" wrapText="1"/>
    </xf>
    <xf numFmtId="43" fontId="43" fillId="2" borderId="8" xfId="100" applyFont="1" applyFill="1" applyBorder="1" applyAlignment="1">
      <alignment horizontal="left" vertical="center" wrapText="1"/>
    </xf>
    <xf numFmtId="43" fontId="43" fillId="2" borderId="7" xfId="100" applyFont="1" applyFill="1" applyBorder="1" applyAlignment="1">
      <alignment horizontal="left" vertical="center" wrapText="1"/>
    </xf>
    <xf numFmtId="43" fontId="49" fillId="0" borderId="6" xfId="100" applyFont="1" applyFill="1" applyBorder="1" applyAlignment="1">
      <alignment horizontal="center" vertical="center" wrapText="1"/>
    </xf>
    <xf numFmtId="43" fontId="49" fillId="0" borderId="8" xfId="100" applyFont="1" applyFill="1" applyBorder="1" applyAlignment="1">
      <alignment horizontal="center" vertical="center" wrapText="1"/>
    </xf>
    <xf numFmtId="43" fontId="49" fillId="11" borderId="6" xfId="100" applyFont="1" applyFill="1" applyBorder="1" applyAlignment="1">
      <alignment horizontal="center" vertical="center" wrapText="1"/>
    </xf>
    <xf numFmtId="43" fontId="49" fillId="11" borderId="8" xfId="100" applyFont="1" applyFill="1" applyBorder="1" applyAlignment="1">
      <alignment horizontal="center" vertical="center" wrapText="1"/>
    </xf>
  </cellXfs>
  <cellStyles count="101">
    <cellStyle name="ArtDescriptif" xfId="28" xr:uid="{00000000-0005-0000-0000-00001C000000}"/>
    <cellStyle name="ArtDescriptif 2" xfId="46" xr:uid="{D8C461A4-21A6-49B2-9165-49180CDFFCC8}"/>
    <cellStyle name="ArtLibelleCond" xfId="27" xr:uid="{00000000-0005-0000-0000-00001B000000}"/>
    <cellStyle name="ArtLibelleCond 2" xfId="47" xr:uid="{7F98FC75-A0A0-4A12-872C-A9CE6ED3C55D}"/>
    <cellStyle name="ArtNote1" xfId="29" xr:uid="{00000000-0005-0000-0000-00001D000000}"/>
    <cellStyle name="ArtNote1 2" xfId="48" xr:uid="{11A2C395-6F4E-4BFD-901E-124DCC8E0F4E}"/>
    <cellStyle name="ArtNote2" xfId="30" xr:uid="{00000000-0005-0000-0000-00001E000000}"/>
    <cellStyle name="ArtNote2 2" xfId="49" xr:uid="{1A7E4BDD-21FA-479D-BAB1-3A799A0972E7}"/>
    <cellStyle name="ArtNote3" xfId="31" xr:uid="{00000000-0005-0000-0000-00001F000000}"/>
    <cellStyle name="ArtNote3 2" xfId="50" xr:uid="{44584673-4CA7-4931-9BD2-C14905A45785}"/>
    <cellStyle name="ArtNote4" xfId="32" xr:uid="{00000000-0005-0000-0000-000020000000}"/>
    <cellStyle name="ArtNote4 2" xfId="51" xr:uid="{3B16C060-3195-4691-BC20-4910CE9C7ECE}"/>
    <cellStyle name="ArtNote5" xfId="33" xr:uid="{00000000-0005-0000-0000-000021000000}"/>
    <cellStyle name="ArtNote5 2" xfId="52" xr:uid="{0E847950-10D1-4344-B4C0-9E260B4C9B33}"/>
    <cellStyle name="ArtQuantite" xfId="34" xr:uid="{00000000-0005-0000-0000-000022000000}"/>
    <cellStyle name="ArtQuantite 2" xfId="53" xr:uid="{A12D40CA-678F-4DEA-9865-99D6B8EF6CA1}"/>
    <cellStyle name="ArtTitre" xfId="26" xr:uid="{00000000-0005-0000-0000-00001A000000}"/>
    <cellStyle name="ArtTitre 2" xfId="54" xr:uid="{6DE82FFD-DE61-48C6-A606-CA231F3389BB}"/>
    <cellStyle name="ChapDescriptif0" xfId="7" xr:uid="{00000000-0005-0000-0000-000007000000}"/>
    <cellStyle name="ChapDescriptif0 2" xfId="55" xr:uid="{490B9524-A0B1-4C1A-AC70-608E221CB740}"/>
    <cellStyle name="ChapDescriptif1" xfId="11" xr:uid="{00000000-0005-0000-0000-00000B000000}"/>
    <cellStyle name="ChapDescriptif1 2" xfId="56" xr:uid="{5D7308CE-804B-4B12-A567-D7941CCA67F7}"/>
    <cellStyle name="ChapDescriptif2" xfId="15" xr:uid="{00000000-0005-0000-0000-00000F000000}"/>
    <cellStyle name="ChapDescriptif2 2" xfId="57" xr:uid="{8C561F96-7985-462F-8285-D6068373E067}"/>
    <cellStyle name="ChapDescriptif3" xfId="19" xr:uid="{00000000-0005-0000-0000-000013000000}"/>
    <cellStyle name="ChapDescriptif3 2" xfId="58" xr:uid="{7227B1A5-205D-4551-A297-3EF56D278C08}"/>
    <cellStyle name="ChapDescriptif4" xfId="23" xr:uid="{00000000-0005-0000-0000-000017000000}"/>
    <cellStyle name="ChapDescriptif4 2" xfId="59" xr:uid="{992D2343-6089-43FD-9983-81041E1E8601}"/>
    <cellStyle name="ChapNote0" xfId="8" xr:uid="{00000000-0005-0000-0000-000008000000}"/>
    <cellStyle name="ChapNote0 2" xfId="60" xr:uid="{FFBA0DB6-6D29-4C0A-A0CB-775B94CA4C43}"/>
    <cellStyle name="ChapNote1" xfId="12" xr:uid="{00000000-0005-0000-0000-00000C000000}"/>
    <cellStyle name="ChapNote1 2" xfId="61" xr:uid="{88BC0AC6-2793-4FDD-81EE-FB6602E9FD07}"/>
    <cellStyle name="ChapNote2" xfId="16" xr:uid="{00000000-0005-0000-0000-000010000000}"/>
    <cellStyle name="ChapNote2 2" xfId="62" xr:uid="{812F125A-1877-4E82-B819-FF02B6E1BE0B}"/>
    <cellStyle name="ChapNote3" xfId="20" xr:uid="{00000000-0005-0000-0000-000014000000}"/>
    <cellStyle name="ChapNote3 2" xfId="63" xr:uid="{5FF13E68-6A9B-4BC2-84B2-48A35B303C73}"/>
    <cellStyle name="ChapNote4" xfId="24" xr:uid="{00000000-0005-0000-0000-000018000000}"/>
    <cellStyle name="ChapNote4 2" xfId="64" xr:uid="{8AB57168-7E85-4C7A-B4ED-B780CD0B2441}"/>
    <cellStyle name="ChapRecap0" xfId="9" xr:uid="{00000000-0005-0000-0000-000009000000}"/>
    <cellStyle name="ChapRecap0 2" xfId="65" xr:uid="{8204EF91-73F9-4B7F-A625-3E1D90AB2AB0}"/>
    <cellStyle name="ChapRecap1" xfId="13" xr:uid="{00000000-0005-0000-0000-00000D000000}"/>
    <cellStyle name="ChapRecap1 2" xfId="66" xr:uid="{5918D3AD-EB0C-4631-8D8A-6846D443BCF7}"/>
    <cellStyle name="ChapRecap2" xfId="17" xr:uid="{00000000-0005-0000-0000-000011000000}"/>
    <cellStyle name="ChapRecap2 2" xfId="67" xr:uid="{1B07266B-7F81-4DB0-940C-08A54BCC93AB}"/>
    <cellStyle name="ChapRecap3" xfId="21" xr:uid="{00000000-0005-0000-0000-000015000000}"/>
    <cellStyle name="ChapRecap3 2" xfId="68" xr:uid="{E4492B9F-BD69-4567-AF50-281FA24CCC9E}"/>
    <cellStyle name="ChapRecap4" xfId="25" xr:uid="{00000000-0005-0000-0000-000019000000}"/>
    <cellStyle name="ChapRecap4 2" xfId="69" xr:uid="{211182DA-2C7C-46D1-BF24-6DC305061874}"/>
    <cellStyle name="ChapTitre0" xfId="6" xr:uid="{00000000-0005-0000-0000-000006000000}"/>
    <cellStyle name="ChapTitre0 2" xfId="70" xr:uid="{8008F835-92B5-424D-A8CB-3424EDD28AEA}"/>
    <cellStyle name="ChapTitre1" xfId="10" xr:uid="{00000000-0005-0000-0000-00000A000000}"/>
    <cellStyle name="ChapTitre1 2" xfId="71" xr:uid="{B6E54886-B63B-4409-96CE-DF51EED91316}"/>
    <cellStyle name="ChapTitre2" xfId="14" xr:uid="{00000000-0005-0000-0000-00000E000000}"/>
    <cellStyle name="ChapTitre2 2" xfId="72" xr:uid="{18D8C625-B9E4-44FD-AF21-322DF933558E}"/>
    <cellStyle name="ChapTitre3" xfId="18" xr:uid="{00000000-0005-0000-0000-000012000000}"/>
    <cellStyle name="ChapTitre3 2" xfId="73" xr:uid="{DB0CC3C4-EB16-4778-90E7-078CAFABF051}"/>
    <cellStyle name="ChapTitre4" xfId="22" xr:uid="{00000000-0005-0000-0000-000016000000}"/>
    <cellStyle name="ChapTitre4 2" xfId="74" xr:uid="{18D93FCD-9B66-4BC5-9EDA-425C9A0C5A7E}"/>
    <cellStyle name="DQLocQuantNonLoc" xfId="42" xr:uid="{00000000-0005-0000-0000-00002A000000}"/>
    <cellStyle name="DQLocQuantNonLoc 2" xfId="75" xr:uid="{C95305CA-A23A-408A-8D81-E7D6B8902639}"/>
    <cellStyle name="DQLocRefClass" xfId="41" xr:uid="{00000000-0005-0000-0000-000029000000}"/>
    <cellStyle name="DQLocRefClass 2" xfId="76" xr:uid="{A48839E1-3FAD-4AE5-9F5C-CF9B519A8727}"/>
    <cellStyle name="DQLocStruct" xfId="43" xr:uid="{00000000-0005-0000-0000-00002B000000}"/>
    <cellStyle name="DQLocStruct 2" xfId="77" xr:uid="{BE5132F0-F484-4D5C-8C90-E29507195305}"/>
    <cellStyle name="DQMinutes" xfId="44" xr:uid="{00000000-0005-0000-0000-00002C000000}"/>
    <cellStyle name="DQMinutes 2" xfId="78" xr:uid="{3539FA43-9138-49C7-BFB3-F9B9BA9C1D1F}"/>
    <cellStyle name="Euro" xfId="79" xr:uid="{9F290850-3514-4DC7-BA16-0B4962E30356}"/>
    <cellStyle name="Info Entete" xfId="80" xr:uid="{36990F5A-0C43-4BC1-ADCB-F8C207F8E74E}"/>
    <cellStyle name="Inter Entete" xfId="81" xr:uid="{45C9A923-4986-4775-A303-03E79E4F58E2}"/>
    <cellStyle name="LocGen" xfId="36" xr:uid="{00000000-0005-0000-0000-000024000000}"/>
    <cellStyle name="LocGen 2" xfId="82" xr:uid="{86DB7FC2-EFB0-4F22-B507-E36FEC6C8F84}"/>
    <cellStyle name="LocLit" xfId="38" xr:uid="{00000000-0005-0000-0000-000026000000}"/>
    <cellStyle name="LocLit 2" xfId="83" xr:uid="{BA09D9D2-0BAB-4674-9407-B4E6B4C365BD}"/>
    <cellStyle name="LocRefClass" xfId="37" xr:uid="{00000000-0005-0000-0000-000025000000}"/>
    <cellStyle name="LocRefClass 2" xfId="84" xr:uid="{FC6D7FB6-40CF-44A0-BC73-ABDEFF7779B0}"/>
    <cellStyle name="LocSignetRep" xfId="40" xr:uid="{00000000-0005-0000-0000-000028000000}"/>
    <cellStyle name="LocSignetRep 2" xfId="85" xr:uid="{4B971C89-640F-46BA-9C87-C45C08F79410}"/>
    <cellStyle name="LocStrRecap0" xfId="3" xr:uid="{00000000-0005-0000-0000-000003000000}"/>
    <cellStyle name="LocStrRecap0 2" xfId="86" xr:uid="{208E5A72-D3E6-411E-9C38-654C68182590}"/>
    <cellStyle name="LocStrRecap1" xfId="5" xr:uid="{00000000-0005-0000-0000-000005000000}"/>
    <cellStyle name="LocStrRecap1 2" xfId="87" xr:uid="{97EBB8B2-DCB9-4621-B5BA-2C04880A8DA4}"/>
    <cellStyle name="LocStrTexte0" xfId="2" xr:uid="{00000000-0005-0000-0000-000002000000}"/>
    <cellStyle name="LocStrTexte0 2" xfId="88" xr:uid="{001CE805-CF61-425D-B7C9-9F4DF29E76BE}"/>
    <cellStyle name="LocStrTexte1" xfId="4" xr:uid="{00000000-0005-0000-0000-000004000000}"/>
    <cellStyle name="LocStrTexte1 2" xfId="89" xr:uid="{69388686-7DCB-4690-B688-090FFC17DEE2}"/>
    <cellStyle name="LocStruct" xfId="39" xr:uid="{00000000-0005-0000-0000-000027000000}"/>
    <cellStyle name="LocStruct 2" xfId="90" xr:uid="{5013809A-0B71-4D92-AD4A-AB6D1A9A43BC}"/>
    <cellStyle name="LocTitre" xfId="35" xr:uid="{00000000-0005-0000-0000-000023000000}"/>
    <cellStyle name="LocTitre 2" xfId="91" xr:uid="{799D538C-57C5-44F4-B3FB-657A9B773822}"/>
    <cellStyle name="Lot" xfId="92" xr:uid="{9E89B862-D2DA-425F-9B88-9B8577C8C54D}"/>
    <cellStyle name="Milliers" xfId="100" builtinId="3"/>
    <cellStyle name="Milliers 2" xfId="93" xr:uid="{64F109FB-10E5-4F65-9F2D-58F19E858A9C}"/>
    <cellStyle name="Normal" xfId="0" builtinId="0"/>
    <cellStyle name="Normal 2" xfId="94" xr:uid="{94063D14-774D-4C32-88E9-D21FA0BE480F}"/>
    <cellStyle name="Normal 2 2" xfId="95" xr:uid="{9B4A0FFD-170F-4F19-BCC7-92E834869393}"/>
    <cellStyle name="Normal 3" xfId="96" xr:uid="{5C18F8E4-469A-498A-8032-DDD91175023F}"/>
    <cellStyle name="Normal 4" xfId="45" xr:uid="{6572A81C-EA70-4287-A09B-585590D167FA}"/>
    <cellStyle name="Note 2" xfId="97" xr:uid="{4ADC8C28-8E7B-4D3F-BB07-F4730A8BE2A9}"/>
    <cellStyle name="Numerotation" xfId="1" xr:uid="{00000000-0005-0000-0000-000001000000}"/>
    <cellStyle name="Numerotation 2" xfId="98" xr:uid="{929A575C-1DDE-42AB-9DC9-7BF3A60D9BE2}"/>
    <cellStyle name="Titre Entete" xfId="99" xr:uid="{F68BEAA9-2ED1-41BF-91B3-4C26C73C52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228600</xdr:colOff>
      <xdr:row>0</xdr:row>
      <xdr:rowOff>68580</xdr:rowOff>
    </xdr:from>
    <xdr:to>
      <xdr:col>6</xdr:col>
      <xdr:colOff>536235</xdr:colOff>
      <xdr:row>0</xdr:row>
      <xdr:rowOff>1193529</xdr:rowOff>
    </xdr:to>
    <xdr:sp macro="" textlink="">
      <xdr:nvSpPr>
        <xdr:cNvPr id="2" name="Forme1">
          <a:extLst>
            <a:ext uri="{FF2B5EF4-FFF2-40B4-BE49-F238E27FC236}">
              <a16:creationId xmlns:a16="http://schemas.microsoft.com/office/drawing/2014/main" id="{00B25731-B33D-42D2-ABDA-F1C33A6B5489}"/>
            </a:ext>
          </a:extLst>
        </xdr:cNvPr>
        <xdr:cNvSpPr/>
      </xdr:nvSpPr>
      <xdr:spPr>
        <a:xfrm>
          <a:off x="228600" y="68580"/>
          <a:ext cx="6685575" cy="1124949"/>
        </a:xfrm>
        <a:prstGeom prst="roundRect">
          <a:avLst>
            <a:gd name="adj" fmla="val 6670"/>
          </a:avLst>
        </a:prstGeom>
        <a:noFill/>
        <a:ln w="6350">
          <a:solidFill>
            <a:srgbClr val="1F3864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0">
          <a:scrgbClr r="0" g="0" b="0"/>
        </a:fillRef>
        <a:effectRef idx="0">
          <a:schemeClr val="accent1"/>
        </a:effectRef>
        <a:fontRef idx="minor">
          <a:schemeClr val="accent1"/>
        </a:fontRef>
      </xdr:style>
      <xdr:txBody>
        <a:bodyPr vertOverflow="clip" horzOverflow="clip" lIns="64174" tIns="64174" rIns="64174" bIns="64174" rtlCol="0" anchor="t"/>
        <a:lstStyle/>
        <a:p>
          <a:r>
            <a:rPr lang="fr-FR" sz="900" b="1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Travaux de second œuvre portant sur 7 logements dans le quartier du Panier à Marseille</a:t>
          </a:r>
          <a:r>
            <a:rPr lang="fr-FR" sz="9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fr-FR" sz="9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fr-FR" sz="900" b="1" i="0">
              <a:solidFill>
                <a:sysClr val="windowText" lastClr="000000"/>
              </a:solidFill>
              <a:latin typeface="+mn-lt"/>
            </a:rPr>
            <a:t> </a:t>
          </a:r>
        </a:p>
        <a:p>
          <a:pPr algn="l"/>
          <a:endParaRPr sz="900" b="1">
            <a:solidFill>
              <a:srgbClr val="000000"/>
            </a:solidFill>
            <a:latin typeface="+mn-lt"/>
          </a:endParaRPr>
        </a:p>
        <a:p>
          <a:pPr algn="l"/>
          <a:r>
            <a:rPr lang="fr-FR" sz="800" b="1" i="0">
              <a:solidFill>
                <a:srgbClr val="000000"/>
              </a:solidFill>
              <a:latin typeface="+mn-lt"/>
            </a:rPr>
            <a:t>Lot N°03 MACROLOT - SECOND OEUVRE - PHASE 02</a:t>
          </a:r>
        </a:p>
        <a:p>
          <a:pPr algn="l"/>
          <a:r>
            <a:rPr lang="fr-FR" sz="800" b="1">
              <a:solidFill>
                <a:srgbClr val="000000"/>
              </a:solidFill>
              <a:latin typeface="Arial Nova Cond"/>
            </a:rPr>
            <a:t>Z</a:t>
          </a:r>
          <a:endParaRPr sz="800" b="1">
            <a:solidFill>
              <a:srgbClr val="000000"/>
            </a:solidFill>
            <a:latin typeface="Arial Nova Cond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28413-1564-4A70-A6C7-7D8631563523}">
  <dimension ref="A1:AAA481"/>
  <sheetViews>
    <sheetView tabSelected="1" topLeftCell="A457" workbookViewId="0">
      <selection activeCell="G474" sqref="G474"/>
    </sheetView>
  </sheetViews>
  <sheetFormatPr baseColWidth="10" defaultColWidth="10.7109375" defaultRowHeight="15.75"/>
  <cols>
    <col min="1" max="1" width="9.7109375" style="81" customWidth="1"/>
    <col min="2" max="2" width="46.7109375" style="81" customWidth="1"/>
    <col min="3" max="3" width="4.7109375" style="81" customWidth="1"/>
    <col min="4" max="6" width="10.7109375" style="81" customWidth="1"/>
    <col min="7" max="7" width="15.85546875" style="81" customWidth="1"/>
    <col min="8" max="8" width="14" style="81" bestFit="1" customWidth="1"/>
    <col min="9" max="9" width="10.7109375" style="81" bestFit="1" customWidth="1"/>
    <col min="10" max="10" width="20.42578125" style="81" customWidth="1"/>
    <col min="11" max="11" width="24.7109375" style="81" customWidth="1"/>
    <col min="12" max="12" width="21.140625" style="81" customWidth="1"/>
    <col min="13" max="16384" width="10.7109375" style="81"/>
  </cols>
  <sheetData>
    <row r="1" spans="1:703" ht="103.5" customHeight="1">
      <c r="A1" s="190"/>
      <c r="B1" s="191"/>
      <c r="C1" s="191"/>
      <c r="D1" s="191"/>
      <c r="E1" s="191"/>
      <c r="F1" s="191"/>
      <c r="G1" s="192"/>
    </row>
    <row r="2" spans="1:703" ht="63">
      <c r="A2" s="79"/>
      <c r="B2" s="80" t="s">
        <v>157</v>
      </c>
      <c r="C2" s="82" t="s">
        <v>158</v>
      </c>
      <c r="D2" s="82" t="s">
        <v>159</v>
      </c>
      <c r="E2" s="82" t="s">
        <v>160</v>
      </c>
      <c r="F2" s="82" t="s">
        <v>161</v>
      </c>
      <c r="G2" s="82" t="s">
        <v>162</v>
      </c>
    </row>
    <row r="3" spans="1:703" ht="16.5" thickBot="1">
      <c r="A3" s="83"/>
      <c r="B3" s="83"/>
      <c r="C3" s="83"/>
      <c r="D3" s="83"/>
      <c r="E3" s="83"/>
      <c r="F3" s="83"/>
      <c r="G3" s="83"/>
    </row>
    <row r="4" spans="1:703" ht="49.5" customHeight="1" thickBot="1">
      <c r="A4" s="193" t="s">
        <v>163</v>
      </c>
      <c r="B4" s="194"/>
      <c r="C4" s="194"/>
      <c r="D4" s="194"/>
      <c r="E4" s="194"/>
      <c r="F4" s="194"/>
      <c r="G4" s="195"/>
      <c r="ZZ4" s="81" t="s">
        <v>164</v>
      </c>
      <c r="AAA4" s="84"/>
    </row>
    <row r="5" spans="1:703">
      <c r="A5" s="85" t="s">
        <v>165</v>
      </c>
      <c r="B5" s="85" t="s">
        <v>166</v>
      </c>
      <c r="C5" s="86"/>
      <c r="D5" s="86"/>
      <c r="E5" s="86"/>
      <c r="F5" s="87"/>
      <c r="G5" s="87"/>
      <c r="ZZ5" s="81" t="s">
        <v>167</v>
      </c>
      <c r="AAA5" s="84"/>
    </row>
    <row r="6" spans="1:703">
      <c r="A6" s="88" t="s">
        <v>168</v>
      </c>
      <c r="B6" s="89" t="s">
        <v>169</v>
      </c>
      <c r="C6" s="90" t="s">
        <v>170</v>
      </c>
      <c r="D6" s="91">
        <v>1</v>
      </c>
      <c r="E6" s="91">
        <v>1</v>
      </c>
      <c r="F6" s="92">
        <v>1664.2974824999999</v>
      </c>
      <c r="G6" s="92">
        <f>+F6*E6</f>
        <v>1664.2974824999999</v>
      </c>
      <c r="ZZ6" s="81" t="s">
        <v>171</v>
      </c>
      <c r="AAA6" s="84" t="s">
        <v>172</v>
      </c>
    </row>
    <row r="7" spans="1:703">
      <c r="A7" s="88" t="s">
        <v>173</v>
      </c>
      <c r="B7" s="89" t="s">
        <v>174</v>
      </c>
      <c r="C7" s="90" t="s">
        <v>170</v>
      </c>
      <c r="D7" s="91">
        <v>1</v>
      </c>
      <c r="E7" s="91">
        <v>1</v>
      </c>
      <c r="F7" s="92">
        <v>8321.4874125000006</v>
      </c>
      <c r="G7" s="92">
        <f>+F7*E7</f>
        <v>8321.4874125000006</v>
      </c>
      <c r="ZZ7" s="81" t="s">
        <v>171</v>
      </c>
      <c r="AAA7" s="84" t="s">
        <v>175</v>
      </c>
    </row>
    <row r="8" spans="1:703" ht="31.5">
      <c r="A8" s="88" t="s">
        <v>176</v>
      </c>
      <c r="B8" s="89" t="s">
        <v>177</v>
      </c>
      <c r="C8" s="90" t="s">
        <v>170</v>
      </c>
      <c r="D8" s="91">
        <v>1</v>
      </c>
      <c r="E8" s="91">
        <v>1</v>
      </c>
      <c r="F8" s="92">
        <v>4992.8924474999994</v>
      </c>
      <c r="G8" s="92">
        <f>+F8*E8</f>
        <v>4992.8924474999994</v>
      </c>
      <c r="ZZ8" s="81" t="s">
        <v>171</v>
      </c>
      <c r="AAA8" s="84" t="s">
        <v>178</v>
      </c>
    </row>
    <row r="9" spans="1:703">
      <c r="A9" s="93" t="s">
        <v>179</v>
      </c>
      <c r="B9" s="93" t="s">
        <v>163</v>
      </c>
      <c r="C9" s="94"/>
      <c r="D9" s="94"/>
      <c r="E9" s="94"/>
      <c r="F9" s="95"/>
      <c r="G9" s="92"/>
      <c r="ZZ9" s="81" t="s">
        <v>167</v>
      </c>
      <c r="AAA9" s="84"/>
    </row>
    <row r="10" spans="1:703">
      <c r="A10" s="93" t="s">
        <v>180</v>
      </c>
      <c r="B10" s="93" t="s">
        <v>181</v>
      </c>
      <c r="C10" s="94"/>
      <c r="D10" s="94"/>
      <c r="E10" s="94"/>
      <c r="F10" s="95"/>
      <c r="G10" s="92"/>
      <c r="ZZ10" s="81" t="s">
        <v>182</v>
      </c>
      <c r="AAA10" s="84"/>
    </row>
    <row r="11" spans="1:703">
      <c r="A11" s="93" t="s">
        <v>183</v>
      </c>
      <c r="B11" s="93" t="s">
        <v>184</v>
      </c>
      <c r="C11" s="94"/>
      <c r="D11" s="94"/>
      <c r="E11" s="94"/>
      <c r="F11" s="95"/>
      <c r="G11" s="92"/>
      <c r="ZZ11" s="81" t="s">
        <v>182</v>
      </c>
      <c r="AAA11" s="84"/>
    </row>
    <row r="12" spans="1:703" ht="31.5">
      <c r="A12" s="93" t="s">
        <v>185</v>
      </c>
      <c r="B12" s="96" t="s">
        <v>186</v>
      </c>
      <c r="C12" s="94"/>
      <c r="D12" s="94"/>
      <c r="E12" s="94"/>
      <c r="F12" s="95"/>
      <c r="G12" s="92"/>
      <c r="ZZ12" s="81" t="s">
        <v>187</v>
      </c>
      <c r="AAA12" s="84"/>
    </row>
    <row r="13" spans="1:703">
      <c r="A13" s="88" t="s">
        <v>188</v>
      </c>
      <c r="B13" s="89" t="s">
        <v>189</v>
      </c>
      <c r="C13" s="90" t="s">
        <v>190</v>
      </c>
      <c r="D13" s="91">
        <v>311.44</v>
      </c>
      <c r="E13" s="91">
        <v>311.44</v>
      </c>
      <c r="F13" s="92">
        <v>41.2</v>
      </c>
      <c r="G13" s="92">
        <f>+F13*E13</f>
        <v>12831.328000000001</v>
      </c>
      <c r="ZZ13" s="81" t="s">
        <v>171</v>
      </c>
      <c r="AAA13" s="84" t="s">
        <v>191</v>
      </c>
    </row>
    <row r="14" spans="1:703">
      <c r="A14" s="88" t="s">
        <v>192</v>
      </c>
      <c r="B14" s="89" t="s">
        <v>193</v>
      </c>
      <c r="C14" s="90" t="s">
        <v>190</v>
      </c>
      <c r="D14" s="91">
        <v>499.3</v>
      </c>
      <c r="E14" s="91">
        <v>499.3</v>
      </c>
      <c r="F14" s="92">
        <v>34</v>
      </c>
      <c r="G14" s="92">
        <f t="shared" ref="G14:G33" si="0">+F14*E14</f>
        <v>16976.2</v>
      </c>
      <c r="ZZ14" s="81" t="s">
        <v>171</v>
      </c>
      <c r="AAA14" s="84" t="s">
        <v>194</v>
      </c>
    </row>
    <row r="15" spans="1:703" ht="31.5">
      <c r="A15" s="88" t="s">
        <v>195</v>
      </c>
      <c r="B15" s="89" t="s">
        <v>196</v>
      </c>
      <c r="C15" s="90" t="s">
        <v>190</v>
      </c>
      <c r="D15" s="91">
        <v>135.76</v>
      </c>
      <c r="E15" s="91">
        <v>135.76</v>
      </c>
      <c r="F15" s="92">
        <v>29</v>
      </c>
      <c r="G15" s="92">
        <f t="shared" si="0"/>
        <v>3937.04</v>
      </c>
      <c r="ZZ15" s="81" t="s">
        <v>171</v>
      </c>
      <c r="AAA15" s="84" t="s">
        <v>197</v>
      </c>
    </row>
    <row r="16" spans="1:703">
      <c r="A16" s="88" t="s">
        <v>198</v>
      </c>
      <c r="B16" s="97" t="s">
        <v>199</v>
      </c>
      <c r="C16" s="94"/>
      <c r="D16" s="94"/>
      <c r="E16" s="94"/>
      <c r="F16" s="95"/>
      <c r="G16" s="92"/>
      <c r="ZZ16" s="81" t="s">
        <v>200</v>
      </c>
      <c r="AAA16" s="84"/>
    </row>
    <row r="17" spans="1:703">
      <c r="A17" s="88" t="s">
        <v>201</v>
      </c>
      <c r="B17" s="89" t="s">
        <v>202</v>
      </c>
      <c r="C17" s="90" t="s">
        <v>1</v>
      </c>
      <c r="D17" s="91">
        <v>2</v>
      </c>
      <c r="E17" s="91">
        <v>2</v>
      </c>
      <c r="F17" s="92">
        <v>378</v>
      </c>
      <c r="G17" s="92">
        <f t="shared" si="0"/>
        <v>756</v>
      </c>
      <c r="ZZ17" s="81" t="s">
        <v>171</v>
      </c>
      <c r="AAA17" s="84" t="s">
        <v>203</v>
      </c>
    </row>
    <row r="18" spans="1:703" ht="31.5">
      <c r="A18" s="88" t="s">
        <v>204</v>
      </c>
      <c r="B18" s="89" t="s">
        <v>205</v>
      </c>
      <c r="C18" s="90" t="s">
        <v>158</v>
      </c>
      <c r="D18" s="91">
        <v>12</v>
      </c>
      <c r="E18" s="91">
        <v>12</v>
      </c>
      <c r="F18" s="92">
        <v>114.75000000000001</v>
      </c>
      <c r="G18" s="92">
        <f t="shared" si="0"/>
        <v>1377.0000000000002</v>
      </c>
      <c r="ZZ18" s="81" t="s">
        <v>171</v>
      </c>
      <c r="AAA18" s="84" t="s">
        <v>206</v>
      </c>
    </row>
    <row r="19" spans="1:703">
      <c r="A19" s="88" t="s">
        <v>207</v>
      </c>
      <c r="B19" s="89" t="s">
        <v>208</v>
      </c>
      <c r="C19" s="90" t="s">
        <v>158</v>
      </c>
      <c r="D19" s="91">
        <v>8</v>
      </c>
      <c r="E19" s="91">
        <v>8</v>
      </c>
      <c r="F19" s="92">
        <v>87.75</v>
      </c>
      <c r="G19" s="92">
        <f t="shared" si="0"/>
        <v>702</v>
      </c>
      <c r="ZZ19" s="81" t="s">
        <v>171</v>
      </c>
      <c r="AAA19" s="84" t="s">
        <v>209</v>
      </c>
    </row>
    <row r="20" spans="1:703">
      <c r="A20" s="93" t="s">
        <v>210</v>
      </c>
      <c r="B20" s="96" t="s">
        <v>211</v>
      </c>
      <c r="C20" s="94"/>
      <c r="D20" s="94"/>
      <c r="E20" s="94"/>
      <c r="F20" s="95"/>
      <c r="G20" s="92"/>
      <c r="ZZ20" s="81" t="s">
        <v>187</v>
      </c>
      <c r="AAA20" s="84"/>
    </row>
    <row r="21" spans="1:703">
      <c r="A21" s="88" t="s">
        <v>212</v>
      </c>
      <c r="B21" s="89" t="s">
        <v>213</v>
      </c>
      <c r="C21" s="90" t="s">
        <v>190</v>
      </c>
      <c r="D21" s="91">
        <v>277.89</v>
      </c>
      <c r="E21" s="91">
        <v>277.89</v>
      </c>
      <c r="F21" s="92">
        <v>56.2</v>
      </c>
      <c r="G21" s="92">
        <f t="shared" si="0"/>
        <v>15617.418</v>
      </c>
      <c r="ZZ21" s="81" t="s">
        <v>171</v>
      </c>
      <c r="AAA21" s="84" t="s">
        <v>214</v>
      </c>
    </row>
    <row r="22" spans="1:703">
      <c r="A22" s="88" t="s">
        <v>215</v>
      </c>
      <c r="B22" s="89" t="s">
        <v>216</v>
      </c>
      <c r="C22" s="90" t="s">
        <v>190</v>
      </c>
      <c r="D22" s="91">
        <v>146.62</v>
      </c>
      <c r="E22" s="91">
        <v>146.62</v>
      </c>
      <c r="F22" s="92">
        <v>58</v>
      </c>
      <c r="G22" s="92">
        <f t="shared" si="0"/>
        <v>8503.9600000000009</v>
      </c>
      <c r="ZZ22" s="81" t="s">
        <v>171</v>
      </c>
      <c r="AAA22" s="84" t="s">
        <v>217</v>
      </c>
    </row>
    <row r="23" spans="1:703">
      <c r="A23" s="88" t="s">
        <v>218</v>
      </c>
      <c r="B23" s="89" t="s">
        <v>219</v>
      </c>
      <c r="C23" s="90" t="s">
        <v>190</v>
      </c>
      <c r="D23" s="91">
        <v>34.06</v>
      </c>
      <c r="E23" s="91">
        <v>34.06</v>
      </c>
      <c r="F23" s="92">
        <v>71.2</v>
      </c>
      <c r="G23" s="92">
        <f t="shared" si="0"/>
        <v>2425.0720000000001</v>
      </c>
      <c r="ZZ23" s="81" t="s">
        <v>171</v>
      </c>
      <c r="AAA23" s="84" t="s">
        <v>220</v>
      </c>
    </row>
    <row r="24" spans="1:703">
      <c r="A24" s="88" t="s">
        <v>221</v>
      </c>
      <c r="B24" s="89" t="s">
        <v>222</v>
      </c>
      <c r="C24" s="90" t="s">
        <v>190</v>
      </c>
      <c r="D24" s="91">
        <v>144.51</v>
      </c>
      <c r="E24" s="91">
        <v>144.51</v>
      </c>
      <c r="F24" s="92">
        <v>68.3</v>
      </c>
      <c r="G24" s="92">
        <f t="shared" si="0"/>
        <v>9870.0329999999994</v>
      </c>
      <c r="ZZ24" s="81" t="s">
        <v>171</v>
      </c>
      <c r="AAA24" s="84" t="s">
        <v>223</v>
      </c>
    </row>
    <row r="25" spans="1:703" ht="31.5">
      <c r="A25" s="88" t="s">
        <v>224</v>
      </c>
      <c r="B25" s="89" t="s">
        <v>225</v>
      </c>
      <c r="C25" s="90" t="s">
        <v>190</v>
      </c>
      <c r="D25" s="91">
        <v>26.02</v>
      </c>
      <c r="E25" s="91">
        <v>26.02</v>
      </c>
      <c r="F25" s="92">
        <v>47.25</v>
      </c>
      <c r="G25" s="92">
        <f t="shared" si="0"/>
        <v>1229.4449999999999</v>
      </c>
      <c r="ZZ25" s="81" t="s">
        <v>171</v>
      </c>
      <c r="AAA25" s="84" t="s">
        <v>226</v>
      </c>
    </row>
    <row r="26" spans="1:703" ht="31.5">
      <c r="A26" s="88" t="s">
        <v>227</v>
      </c>
      <c r="B26" s="89" t="s">
        <v>228</v>
      </c>
      <c r="C26" s="90" t="s">
        <v>229</v>
      </c>
      <c r="D26" s="91">
        <v>3</v>
      </c>
      <c r="E26" s="91">
        <v>3</v>
      </c>
      <c r="F26" s="92">
        <v>607.5</v>
      </c>
      <c r="G26" s="92">
        <f t="shared" si="0"/>
        <v>1822.5</v>
      </c>
      <c r="ZZ26" s="81" t="s">
        <v>171</v>
      </c>
      <c r="AAA26" s="84" t="s">
        <v>230</v>
      </c>
    </row>
    <row r="27" spans="1:703">
      <c r="A27" s="88" t="s">
        <v>231</v>
      </c>
      <c r="B27" s="89" t="s">
        <v>232</v>
      </c>
      <c r="C27" s="90" t="s">
        <v>158</v>
      </c>
      <c r="D27" s="91">
        <v>46</v>
      </c>
      <c r="E27" s="91">
        <v>46</v>
      </c>
      <c r="F27" s="92">
        <v>60.750000000000007</v>
      </c>
      <c r="G27" s="92">
        <f t="shared" si="0"/>
        <v>2794.5000000000005</v>
      </c>
      <c r="ZZ27" s="81" t="s">
        <v>171</v>
      </c>
      <c r="AAA27" s="84" t="s">
        <v>233</v>
      </c>
    </row>
    <row r="28" spans="1:703">
      <c r="A28" s="88" t="s">
        <v>234</v>
      </c>
      <c r="B28" s="89" t="s">
        <v>235</v>
      </c>
      <c r="C28" s="90" t="s">
        <v>190</v>
      </c>
      <c r="D28" s="91">
        <v>40.090000000000003</v>
      </c>
      <c r="E28" s="91">
        <v>40.090000000000003</v>
      </c>
      <c r="F28" s="92">
        <v>74.25</v>
      </c>
      <c r="G28" s="92">
        <f t="shared" si="0"/>
        <v>2976.6825000000003</v>
      </c>
      <c r="ZZ28" s="81" t="s">
        <v>171</v>
      </c>
      <c r="AAA28" s="84" t="s">
        <v>236</v>
      </c>
    </row>
    <row r="29" spans="1:703" ht="31.5">
      <c r="A29" s="93" t="s">
        <v>237</v>
      </c>
      <c r="B29" s="96" t="s">
        <v>238</v>
      </c>
      <c r="C29" s="94"/>
      <c r="D29" s="94"/>
      <c r="E29" s="94"/>
      <c r="F29" s="95"/>
      <c r="G29" s="92"/>
      <c r="ZZ29" s="81" t="s">
        <v>187</v>
      </c>
      <c r="AAA29" s="84"/>
    </row>
    <row r="30" spans="1:703" ht="31.5">
      <c r="A30" s="88" t="s">
        <v>239</v>
      </c>
      <c r="B30" s="89" t="s">
        <v>240</v>
      </c>
      <c r="C30" s="90" t="s">
        <v>190</v>
      </c>
      <c r="D30" s="91">
        <v>418.34</v>
      </c>
      <c r="E30" s="91">
        <v>418.34</v>
      </c>
      <c r="F30" s="92">
        <v>46</v>
      </c>
      <c r="G30" s="92">
        <f t="shared" si="0"/>
        <v>19243.64</v>
      </c>
      <c r="ZZ30" s="81" t="s">
        <v>171</v>
      </c>
      <c r="AAA30" s="84" t="s">
        <v>241</v>
      </c>
    </row>
    <row r="31" spans="1:703" ht="31.5">
      <c r="A31" s="88" t="s">
        <v>242</v>
      </c>
      <c r="B31" s="89" t="s">
        <v>243</v>
      </c>
      <c r="C31" s="90" t="s">
        <v>190</v>
      </c>
      <c r="D31" s="91">
        <v>220.78</v>
      </c>
      <c r="E31" s="91">
        <v>220.78</v>
      </c>
      <c r="F31" s="92">
        <v>53</v>
      </c>
      <c r="G31" s="92">
        <f t="shared" si="0"/>
        <v>11701.34</v>
      </c>
      <c r="ZZ31" s="81" t="s">
        <v>171</v>
      </c>
      <c r="AAA31" s="84" t="s">
        <v>244</v>
      </c>
    </row>
    <row r="32" spans="1:703" ht="31.5">
      <c r="A32" s="88" t="s">
        <v>245</v>
      </c>
      <c r="B32" s="89" t="s">
        <v>246</v>
      </c>
      <c r="C32" s="90" t="s">
        <v>170</v>
      </c>
      <c r="D32" s="91">
        <v>1</v>
      </c>
      <c r="E32" s="91">
        <v>1</v>
      </c>
      <c r="F32" s="92">
        <v>1620</v>
      </c>
      <c r="G32" s="92">
        <f t="shared" si="0"/>
        <v>1620</v>
      </c>
      <c r="ZZ32" s="81" t="s">
        <v>171</v>
      </c>
      <c r="AAA32" s="84" t="s">
        <v>247</v>
      </c>
    </row>
    <row r="33" spans="1:703">
      <c r="A33" s="88" t="s">
        <v>248</v>
      </c>
      <c r="B33" s="89" t="s">
        <v>249</v>
      </c>
      <c r="C33" s="90" t="s">
        <v>229</v>
      </c>
      <c r="D33" s="91">
        <v>2</v>
      </c>
      <c r="E33" s="91">
        <v>2</v>
      </c>
      <c r="F33" s="92">
        <v>1080</v>
      </c>
      <c r="G33" s="92">
        <f t="shared" si="0"/>
        <v>2160</v>
      </c>
      <c r="ZZ33" s="81" t="s">
        <v>171</v>
      </c>
      <c r="AAA33" s="84" t="s">
        <v>250</v>
      </c>
    </row>
    <row r="34" spans="1:703">
      <c r="A34" s="93" t="s">
        <v>251</v>
      </c>
      <c r="B34" s="93" t="s">
        <v>252</v>
      </c>
      <c r="C34" s="94"/>
      <c r="D34" s="94"/>
      <c r="E34" s="94"/>
      <c r="F34" s="95"/>
      <c r="G34" s="92"/>
      <c r="ZZ34" s="81" t="s">
        <v>182</v>
      </c>
      <c r="AAA34" s="84"/>
    </row>
    <row r="35" spans="1:703" ht="31.5">
      <c r="A35" s="93" t="s">
        <v>253</v>
      </c>
      <c r="B35" s="96" t="s">
        <v>254</v>
      </c>
      <c r="C35" s="94"/>
      <c r="D35" s="94"/>
      <c r="E35" s="94"/>
      <c r="F35" s="95"/>
      <c r="G35" s="92"/>
      <c r="ZZ35" s="81" t="s">
        <v>187</v>
      </c>
      <c r="AAA35" s="84"/>
    </row>
    <row r="36" spans="1:703">
      <c r="A36" s="93" t="s">
        <v>255</v>
      </c>
      <c r="B36" s="96" t="s">
        <v>256</v>
      </c>
      <c r="C36" s="94"/>
      <c r="D36" s="94"/>
      <c r="E36" s="94"/>
      <c r="F36" s="95"/>
      <c r="G36" s="92"/>
      <c r="ZZ36" s="81" t="s">
        <v>187</v>
      </c>
      <c r="AAA36" s="84"/>
    </row>
    <row r="37" spans="1:703">
      <c r="A37" s="88" t="s">
        <v>257</v>
      </c>
      <c r="B37" s="97" t="s">
        <v>258</v>
      </c>
      <c r="C37" s="94"/>
      <c r="D37" s="94"/>
      <c r="E37" s="94"/>
      <c r="F37" s="95"/>
      <c r="G37" s="92"/>
      <c r="ZZ37" s="81" t="s">
        <v>200</v>
      </c>
      <c r="AAA37" s="84"/>
    </row>
    <row r="38" spans="1:703" ht="47.25">
      <c r="A38" s="88" t="s">
        <v>259</v>
      </c>
      <c r="B38" s="89" t="s">
        <v>260</v>
      </c>
      <c r="C38" s="90" t="s">
        <v>190</v>
      </c>
      <c r="D38" s="91">
        <v>24.72</v>
      </c>
      <c r="E38" s="91">
        <v>24.72</v>
      </c>
      <c r="F38" s="92">
        <v>114.75000000000001</v>
      </c>
      <c r="G38" s="92">
        <f t="shared" ref="G38:G91" si="1">+F38*E38</f>
        <v>2836.6200000000003</v>
      </c>
      <c r="ZZ38" s="81" t="s">
        <v>171</v>
      </c>
      <c r="AAA38" s="84" t="s">
        <v>261</v>
      </c>
    </row>
    <row r="39" spans="1:703" ht="47.25">
      <c r="A39" s="88" t="s">
        <v>262</v>
      </c>
      <c r="B39" s="89" t="s">
        <v>263</v>
      </c>
      <c r="C39" s="90" t="s">
        <v>158</v>
      </c>
      <c r="D39" s="91">
        <v>3</v>
      </c>
      <c r="E39" s="91">
        <v>3</v>
      </c>
      <c r="F39" s="92">
        <v>513</v>
      </c>
      <c r="G39" s="92">
        <f t="shared" si="1"/>
        <v>1539</v>
      </c>
      <c r="ZZ39" s="81" t="s">
        <v>171</v>
      </c>
      <c r="AAA39" s="84" t="s">
        <v>264</v>
      </c>
    </row>
    <row r="40" spans="1:703" ht="47.25">
      <c r="A40" s="88" t="s">
        <v>265</v>
      </c>
      <c r="B40" s="89" t="s">
        <v>266</v>
      </c>
      <c r="C40" s="90" t="s">
        <v>158</v>
      </c>
      <c r="D40" s="91">
        <v>2</v>
      </c>
      <c r="E40" s="91">
        <v>2</v>
      </c>
      <c r="F40" s="92">
        <v>567</v>
      </c>
      <c r="G40" s="92">
        <f t="shared" si="1"/>
        <v>1134</v>
      </c>
      <c r="ZZ40" s="81" t="s">
        <v>171</v>
      </c>
      <c r="AAA40" s="84" t="s">
        <v>267</v>
      </c>
    </row>
    <row r="41" spans="1:703" ht="47.25">
      <c r="A41" s="88" t="s">
        <v>268</v>
      </c>
      <c r="B41" s="89" t="s">
        <v>269</v>
      </c>
      <c r="C41" s="90" t="s">
        <v>158</v>
      </c>
      <c r="D41" s="91">
        <v>1</v>
      </c>
      <c r="E41" s="91">
        <v>1</v>
      </c>
      <c r="F41" s="92">
        <v>607.5</v>
      </c>
      <c r="G41" s="92">
        <f t="shared" si="1"/>
        <v>607.5</v>
      </c>
      <c r="ZZ41" s="81" t="s">
        <v>171</v>
      </c>
      <c r="AAA41" s="84" t="s">
        <v>270</v>
      </c>
    </row>
    <row r="42" spans="1:703" ht="47.25">
      <c r="A42" s="88" t="s">
        <v>271</v>
      </c>
      <c r="B42" s="89" t="s">
        <v>272</v>
      </c>
      <c r="C42" s="90" t="s">
        <v>158</v>
      </c>
      <c r="D42" s="91">
        <v>1</v>
      </c>
      <c r="E42" s="91">
        <v>1</v>
      </c>
      <c r="F42" s="92">
        <v>648</v>
      </c>
      <c r="G42" s="92">
        <f t="shared" si="1"/>
        <v>648</v>
      </c>
      <c r="ZZ42" s="81" t="s">
        <v>171</v>
      </c>
      <c r="AAA42" s="84" t="s">
        <v>273</v>
      </c>
    </row>
    <row r="43" spans="1:703" ht="47.25">
      <c r="A43" s="88" t="s">
        <v>274</v>
      </c>
      <c r="B43" s="89" t="s">
        <v>275</v>
      </c>
      <c r="C43" s="90" t="s">
        <v>158</v>
      </c>
      <c r="D43" s="91">
        <v>3</v>
      </c>
      <c r="E43" s="91">
        <v>3</v>
      </c>
      <c r="F43" s="92">
        <v>526.5</v>
      </c>
      <c r="G43" s="92">
        <f t="shared" si="1"/>
        <v>1579.5</v>
      </c>
      <c r="ZZ43" s="81" t="s">
        <v>171</v>
      </c>
      <c r="AAA43" s="84" t="s">
        <v>276</v>
      </c>
    </row>
    <row r="44" spans="1:703" ht="47.25">
      <c r="A44" s="88" t="s">
        <v>277</v>
      </c>
      <c r="B44" s="89" t="s">
        <v>278</v>
      </c>
      <c r="C44" s="90" t="s">
        <v>158</v>
      </c>
      <c r="D44" s="91">
        <v>2</v>
      </c>
      <c r="E44" s="91">
        <v>2</v>
      </c>
      <c r="F44" s="92">
        <v>553.5</v>
      </c>
      <c r="G44" s="92">
        <f t="shared" si="1"/>
        <v>1107</v>
      </c>
      <c r="ZZ44" s="81" t="s">
        <v>171</v>
      </c>
      <c r="AAA44" s="84" t="s">
        <v>279</v>
      </c>
    </row>
    <row r="45" spans="1:703" ht="47.25">
      <c r="A45" s="88" t="s">
        <v>280</v>
      </c>
      <c r="B45" s="89" t="s">
        <v>281</v>
      </c>
      <c r="C45" s="90" t="s">
        <v>158</v>
      </c>
      <c r="D45" s="91">
        <v>1</v>
      </c>
      <c r="E45" s="91">
        <v>1</v>
      </c>
      <c r="F45" s="92">
        <v>580.5</v>
      </c>
      <c r="G45" s="92">
        <f t="shared" si="1"/>
        <v>580.5</v>
      </c>
      <c r="ZZ45" s="81" t="s">
        <v>171</v>
      </c>
      <c r="AAA45" s="84" t="s">
        <v>282</v>
      </c>
    </row>
    <row r="46" spans="1:703" ht="47.25">
      <c r="A46" s="88" t="s">
        <v>283</v>
      </c>
      <c r="B46" s="89" t="s">
        <v>284</v>
      </c>
      <c r="C46" s="90" t="s">
        <v>158</v>
      </c>
      <c r="D46" s="91">
        <v>3</v>
      </c>
      <c r="E46" s="91">
        <v>3</v>
      </c>
      <c r="F46" s="92">
        <v>162</v>
      </c>
      <c r="G46" s="92">
        <f t="shared" si="1"/>
        <v>486</v>
      </c>
      <c r="ZZ46" s="81" t="s">
        <v>171</v>
      </c>
      <c r="AAA46" s="84" t="s">
        <v>285</v>
      </c>
    </row>
    <row r="47" spans="1:703">
      <c r="A47" s="88" t="s">
        <v>286</v>
      </c>
      <c r="B47" s="97" t="s">
        <v>287</v>
      </c>
      <c r="C47" s="94"/>
      <c r="D47" s="94"/>
      <c r="E47" s="94"/>
      <c r="F47" s="95"/>
      <c r="G47" s="92"/>
      <c r="ZZ47" s="81" t="s">
        <v>200</v>
      </c>
      <c r="AAA47" s="84"/>
    </row>
    <row r="48" spans="1:703" ht="47.25">
      <c r="A48" s="88" t="s">
        <v>288</v>
      </c>
      <c r="B48" s="89" t="s">
        <v>289</v>
      </c>
      <c r="C48" s="90" t="s">
        <v>190</v>
      </c>
      <c r="D48" s="91">
        <v>23.19</v>
      </c>
      <c r="E48" s="91">
        <v>23.19</v>
      </c>
      <c r="F48" s="92">
        <v>114.75000000000001</v>
      </c>
      <c r="G48" s="92">
        <f t="shared" si="1"/>
        <v>2661.0525000000007</v>
      </c>
      <c r="ZZ48" s="81" t="s">
        <v>171</v>
      </c>
      <c r="AAA48" s="84" t="s">
        <v>290</v>
      </c>
    </row>
    <row r="49" spans="1:703" ht="47.25">
      <c r="A49" s="88" t="s">
        <v>291</v>
      </c>
      <c r="B49" s="89" t="s">
        <v>292</v>
      </c>
      <c r="C49" s="90" t="s">
        <v>229</v>
      </c>
      <c r="D49" s="91">
        <v>1</v>
      </c>
      <c r="E49" s="91">
        <v>1</v>
      </c>
      <c r="F49" s="92">
        <v>702</v>
      </c>
      <c r="G49" s="92">
        <f t="shared" si="1"/>
        <v>702</v>
      </c>
      <c r="ZZ49" s="81" t="s">
        <v>171</v>
      </c>
      <c r="AAA49" s="84" t="s">
        <v>293</v>
      </c>
    </row>
    <row r="50" spans="1:703" ht="47.25">
      <c r="A50" s="88" t="s">
        <v>294</v>
      </c>
      <c r="B50" s="89" t="s">
        <v>263</v>
      </c>
      <c r="C50" s="90" t="s">
        <v>158</v>
      </c>
      <c r="D50" s="91">
        <v>3</v>
      </c>
      <c r="E50" s="91">
        <v>3</v>
      </c>
      <c r="F50" s="92">
        <v>513</v>
      </c>
      <c r="G50" s="92">
        <f t="shared" si="1"/>
        <v>1539</v>
      </c>
      <c r="ZZ50" s="81" t="s">
        <v>171</v>
      </c>
      <c r="AAA50" s="84" t="s">
        <v>295</v>
      </c>
    </row>
    <row r="51" spans="1:703" ht="47.25">
      <c r="A51" s="88" t="s">
        <v>296</v>
      </c>
      <c r="B51" s="89" t="s">
        <v>275</v>
      </c>
      <c r="C51" s="90" t="s">
        <v>158</v>
      </c>
      <c r="D51" s="91">
        <v>1</v>
      </c>
      <c r="E51" s="91">
        <v>1</v>
      </c>
      <c r="F51" s="92">
        <v>526.5</v>
      </c>
      <c r="G51" s="92">
        <f t="shared" si="1"/>
        <v>526.5</v>
      </c>
      <c r="AAA51" s="84"/>
    </row>
    <row r="52" spans="1:703" ht="47.25">
      <c r="A52" s="88" t="s">
        <v>297</v>
      </c>
      <c r="B52" s="89" t="s">
        <v>278</v>
      </c>
      <c r="C52" s="90" t="s">
        <v>158</v>
      </c>
      <c r="D52" s="91">
        <v>1</v>
      </c>
      <c r="E52" s="91">
        <v>1</v>
      </c>
      <c r="F52" s="92">
        <v>553.5</v>
      </c>
      <c r="G52" s="92">
        <f t="shared" si="1"/>
        <v>553.5</v>
      </c>
      <c r="ZZ52" s="81" t="s">
        <v>171</v>
      </c>
      <c r="AAA52" s="84" t="s">
        <v>298</v>
      </c>
    </row>
    <row r="53" spans="1:703" ht="47.25">
      <c r="A53" s="88" t="s">
        <v>299</v>
      </c>
      <c r="B53" s="89" t="s">
        <v>281</v>
      </c>
      <c r="C53" s="90" t="s">
        <v>158</v>
      </c>
      <c r="D53" s="91">
        <v>1</v>
      </c>
      <c r="E53" s="91">
        <v>1</v>
      </c>
      <c r="F53" s="92">
        <v>580.5</v>
      </c>
      <c r="G53" s="92">
        <f t="shared" si="1"/>
        <v>580.5</v>
      </c>
      <c r="ZZ53" s="81" t="s">
        <v>171</v>
      </c>
      <c r="AAA53" s="84" t="s">
        <v>300</v>
      </c>
    </row>
    <row r="54" spans="1:703" ht="47.25">
      <c r="A54" s="88" t="s">
        <v>301</v>
      </c>
      <c r="B54" s="89" t="s">
        <v>302</v>
      </c>
      <c r="C54" s="90" t="s">
        <v>158</v>
      </c>
      <c r="D54" s="91">
        <v>3</v>
      </c>
      <c r="E54" s="91">
        <v>3</v>
      </c>
      <c r="F54" s="92">
        <v>607.5</v>
      </c>
      <c r="G54" s="92">
        <f t="shared" si="1"/>
        <v>1822.5</v>
      </c>
      <c r="ZZ54" s="81" t="s">
        <v>171</v>
      </c>
      <c r="AAA54" s="84" t="s">
        <v>303</v>
      </c>
    </row>
    <row r="55" spans="1:703" ht="47.25">
      <c r="A55" s="88" t="s">
        <v>304</v>
      </c>
      <c r="B55" s="89" t="s">
        <v>305</v>
      </c>
      <c r="C55" s="90" t="s">
        <v>158</v>
      </c>
      <c r="D55" s="91">
        <v>3</v>
      </c>
      <c r="E55" s="91">
        <v>3</v>
      </c>
      <c r="F55" s="92">
        <v>621</v>
      </c>
      <c r="G55" s="92">
        <f t="shared" si="1"/>
        <v>1863</v>
      </c>
      <c r="ZZ55" s="81" t="s">
        <v>171</v>
      </c>
      <c r="AAA55" s="84" t="s">
        <v>306</v>
      </c>
    </row>
    <row r="56" spans="1:703" ht="47.25">
      <c r="A56" s="88" t="s">
        <v>307</v>
      </c>
      <c r="B56" s="89" t="s">
        <v>308</v>
      </c>
      <c r="C56" s="90" t="s">
        <v>158</v>
      </c>
      <c r="D56" s="91">
        <v>3</v>
      </c>
      <c r="E56" s="91">
        <v>3</v>
      </c>
      <c r="F56" s="92">
        <v>634.5</v>
      </c>
      <c r="G56" s="92">
        <f t="shared" si="1"/>
        <v>1903.5</v>
      </c>
      <c r="ZZ56" s="81" t="s">
        <v>171</v>
      </c>
      <c r="AAA56" s="84" t="s">
        <v>309</v>
      </c>
    </row>
    <row r="57" spans="1:703" ht="47.25">
      <c r="A57" s="88" t="s">
        <v>310</v>
      </c>
      <c r="B57" s="89" t="s">
        <v>311</v>
      </c>
      <c r="C57" s="90" t="s">
        <v>158</v>
      </c>
      <c r="D57" s="91">
        <v>1</v>
      </c>
      <c r="E57" s="91">
        <v>1</v>
      </c>
      <c r="F57" s="92">
        <v>648</v>
      </c>
      <c r="G57" s="92">
        <f t="shared" si="1"/>
        <v>648</v>
      </c>
      <c r="ZZ57" s="81" t="s">
        <v>171</v>
      </c>
      <c r="AAA57" s="84" t="s">
        <v>312</v>
      </c>
    </row>
    <row r="58" spans="1:703" ht="47.25">
      <c r="A58" s="88" t="s">
        <v>313</v>
      </c>
      <c r="B58" s="89" t="s">
        <v>314</v>
      </c>
      <c r="C58" s="90" t="s">
        <v>158</v>
      </c>
      <c r="D58" s="91">
        <v>1</v>
      </c>
      <c r="E58" s="91">
        <v>1</v>
      </c>
      <c r="F58" s="92">
        <v>661.5</v>
      </c>
      <c r="G58" s="92">
        <f t="shared" si="1"/>
        <v>661.5</v>
      </c>
      <c r="ZZ58" s="81" t="s">
        <v>171</v>
      </c>
      <c r="AAA58" s="84" t="s">
        <v>315</v>
      </c>
    </row>
    <row r="59" spans="1:703">
      <c r="A59" s="93" t="s">
        <v>316</v>
      </c>
      <c r="B59" s="96" t="s">
        <v>317</v>
      </c>
      <c r="C59" s="94"/>
      <c r="D59" s="94"/>
      <c r="E59" s="94"/>
      <c r="F59" s="95"/>
      <c r="G59" s="92"/>
      <c r="ZZ59" s="81" t="s">
        <v>187</v>
      </c>
      <c r="AAA59" s="84"/>
    </row>
    <row r="60" spans="1:703">
      <c r="A60" s="88" t="s">
        <v>318</v>
      </c>
      <c r="B60" s="89" t="s">
        <v>319</v>
      </c>
      <c r="C60" s="90" t="s">
        <v>158</v>
      </c>
      <c r="D60" s="91">
        <v>3</v>
      </c>
      <c r="E60" s="91">
        <v>3</v>
      </c>
      <c r="F60" s="92">
        <v>648</v>
      </c>
      <c r="G60" s="92">
        <f t="shared" si="1"/>
        <v>1944</v>
      </c>
      <c r="ZZ60" s="81" t="s">
        <v>171</v>
      </c>
      <c r="AAA60" s="84" t="s">
        <v>320</v>
      </c>
    </row>
    <row r="61" spans="1:703">
      <c r="A61" s="88" t="s">
        <v>321</v>
      </c>
      <c r="B61" s="89" t="s">
        <v>322</v>
      </c>
      <c r="C61" s="90" t="s">
        <v>158</v>
      </c>
      <c r="D61" s="91">
        <v>7</v>
      </c>
      <c r="E61" s="91">
        <v>7</v>
      </c>
      <c r="F61" s="92">
        <v>1620</v>
      </c>
      <c r="G61" s="92">
        <f t="shared" si="1"/>
        <v>11340</v>
      </c>
      <c r="ZZ61" s="81" t="s">
        <v>171</v>
      </c>
      <c r="AAA61" s="84" t="s">
        <v>323</v>
      </c>
    </row>
    <row r="62" spans="1:703">
      <c r="A62" s="88" t="s">
        <v>324</v>
      </c>
      <c r="B62" s="89" t="s">
        <v>325</v>
      </c>
      <c r="C62" s="90" t="s">
        <v>158</v>
      </c>
      <c r="D62" s="91">
        <v>29</v>
      </c>
      <c r="E62" s="91">
        <v>29</v>
      </c>
      <c r="F62" s="92">
        <v>434</v>
      </c>
      <c r="G62" s="92">
        <f t="shared" si="1"/>
        <v>12586</v>
      </c>
      <c r="ZZ62" s="81" t="s">
        <v>171</v>
      </c>
      <c r="AAA62" s="84" t="s">
        <v>326</v>
      </c>
    </row>
    <row r="63" spans="1:703">
      <c r="A63" s="88" t="s">
        <v>327</v>
      </c>
      <c r="B63" s="89" t="s">
        <v>328</v>
      </c>
      <c r="C63" s="90" t="s">
        <v>158</v>
      </c>
      <c r="D63" s="91">
        <v>6</v>
      </c>
      <c r="E63" s="91">
        <v>6</v>
      </c>
      <c r="F63" s="92">
        <v>472.50000000000006</v>
      </c>
      <c r="G63" s="92">
        <f t="shared" si="1"/>
        <v>2835.0000000000005</v>
      </c>
      <c r="ZZ63" s="81" t="s">
        <v>171</v>
      </c>
      <c r="AAA63" s="84" t="s">
        <v>329</v>
      </c>
    </row>
    <row r="64" spans="1:703" ht="31.5">
      <c r="A64" s="88" t="s">
        <v>330</v>
      </c>
      <c r="B64" s="89" t="s">
        <v>331</v>
      </c>
      <c r="C64" s="90" t="s">
        <v>158</v>
      </c>
      <c r="D64" s="91">
        <v>5</v>
      </c>
      <c r="E64" s="91">
        <v>5</v>
      </c>
      <c r="F64" s="92">
        <v>567</v>
      </c>
      <c r="G64" s="92">
        <f t="shared" si="1"/>
        <v>2835</v>
      </c>
      <c r="ZZ64" s="81" t="s">
        <v>171</v>
      </c>
      <c r="AAA64" s="84" t="s">
        <v>332</v>
      </c>
    </row>
    <row r="65" spans="1:703">
      <c r="A65" s="88" t="s">
        <v>333</v>
      </c>
      <c r="B65" s="89" t="s">
        <v>334</v>
      </c>
      <c r="C65" s="90" t="s">
        <v>158</v>
      </c>
      <c r="D65" s="91">
        <v>1</v>
      </c>
      <c r="E65" s="91">
        <v>1</v>
      </c>
      <c r="F65" s="92">
        <v>918.00000000000011</v>
      </c>
      <c r="G65" s="92">
        <f t="shared" si="1"/>
        <v>918.00000000000011</v>
      </c>
      <c r="ZZ65" s="81" t="s">
        <v>171</v>
      </c>
      <c r="AAA65" s="84" t="s">
        <v>335</v>
      </c>
    </row>
    <row r="66" spans="1:703" ht="31.5">
      <c r="A66" s="88" t="s">
        <v>336</v>
      </c>
      <c r="B66" s="89" t="s">
        <v>337</v>
      </c>
      <c r="C66" s="90" t="s">
        <v>158</v>
      </c>
      <c r="D66" s="91">
        <v>4</v>
      </c>
      <c r="E66" s="91">
        <v>4</v>
      </c>
      <c r="F66" s="92">
        <v>378</v>
      </c>
      <c r="G66" s="92">
        <f t="shared" si="1"/>
        <v>1512</v>
      </c>
      <c r="ZZ66" s="81" t="s">
        <v>171</v>
      </c>
      <c r="AAA66" s="84" t="s">
        <v>338</v>
      </c>
    </row>
    <row r="67" spans="1:703">
      <c r="A67" s="93" t="s">
        <v>339</v>
      </c>
      <c r="B67" s="96" t="s">
        <v>340</v>
      </c>
      <c r="C67" s="94"/>
      <c r="D67" s="94"/>
      <c r="E67" s="94"/>
      <c r="F67" s="95"/>
      <c r="G67" s="92"/>
      <c r="ZZ67" s="81" t="s">
        <v>187</v>
      </c>
      <c r="AAA67" s="84"/>
    </row>
    <row r="68" spans="1:703">
      <c r="A68" s="88" t="s">
        <v>341</v>
      </c>
      <c r="B68" s="89" t="s">
        <v>342</v>
      </c>
      <c r="C68" s="90" t="s">
        <v>158</v>
      </c>
      <c r="D68" s="91">
        <v>1</v>
      </c>
      <c r="E68" s="91">
        <v>1</v>
      </c>
      <c r="F68" s="92">
        <v>5130</v>
      </c>
      <c r="G68" s="92">
        <f t="shared" si="1"/>
        <v>5130</v>
      </c>
      <c r="ZZ68" s="81" t="s">
        <v>171</v>
      </c>
      <c r="AAA68" s="84" t="s">
        <v>343</v>
      </c>
    </row>
    <row r="69" spans="1:703">
      <c r="A69" s="88" t="s">
        <v>344</v>
      </c>
      <c r="B69" s="89" t="s">
        <v>345</v>
      </c>
      <c r="C69" s="90" t="s">
        <v>158</v>
      </c>
      <c r="D69" s="91">
        <v>1</v>
      </c>
      <c r="E69" s="91">
        <v>1</v>
      </c>
      <c r="F69" s="92">
        <v>7020.0000000000009</v>
      </c>
      <c r="G69" s="92">
        <f t="shared" si="1"/>
        <v>7020.0000000000009</v>
      </c>
      <c r="ZZ69" s="81" t="s">
        <v>171</v>
      </c>
      <c r="AAA69" s="84" t="s">
        <v>346</v>
      </c>
    </row>
    <row r="70" spans="1:703">
      <c r="A70" s="93" t="s">
        <v>347</v>
      </c>
      <c r="B70" s="96" t="s">
        <v>348</v>
      </c>
      <c r="C70" s="94"/>
      <c r="D70" s="94"/>
      <c r="E70" s="94"/>
      <c r="F70" s="95"/>
      <c r="G70" s="92"/>
      <c r="ZZ70" s="81" t="s">
        <v>187</v>
      </c>
      <c r="AAA70" s="84"/>
    </row>
    <row r="71" spans="1:703">
      <c r="A71" s="98" t="s">
        <v>349</v>
      </c>
      <c r="B71" s="89" t="s">
        <v>350</v>
      </c>
      <c r="C71" s="90" t="s">
        <v>351</v>
      </c>
      <c r="D71" s="91">
        <v>2.91</v>
      </c>
      <c r="E71" s="91">
        <v>2.91</v>
      </c>
      <c r="F71" s="92">
        <v>378</v>
      </c>
      <c r="G71" s="92">
        <f t="shared" si="1"/>
        <v>1099.98</v>
      </c>
      <c r="ZZ71" s="81" t="s">
        <v>171</v>
      </c>
      <c r="AAA71" s="84" t="s">
        <v>352</v>
      </c>
    </row>
    <row r="72" spans="1:703">
      <c r="A72" s="98" t="s">
        <v>353</v>
      </c>
      <c r="B72" s="89" t="s">
        <v>354</v>
      </c>
      <c r="C72" s="90" t="s">
        <v>351</v>
      </c>
      <c r="D72" s="91">
        <v>7.35</v>
      </c>
      <c r="E72" s="91">
        <v>7.35</v>
      </c>
      <c r="F72" s="92">
        <v>378</v>
      </c>
      <c r="G72" s="92">
        <f t="shared" si="1"/>
        <v>2778.2999999999997</v>
      </c>
      <c r="ZZ72" s="81" t="s">
        <v>171</v>
      </c>
      <c r="AAA72" s="84" t="s">
        <v>355</v>
      </c>
    </row>
    <row r="73" spans="1:703">
      <c r="A73" s="93" t="s">
        <v>356</v>
      </c>
      <c r="B73" s="96" t="s">
        <v>357</v>
      </c>
      <c r="C73" s="94"/>
      <c r="D73" s="94"/>
      <c r="E73" s="94"/>
      <c r="F73" s="95"/>
      <c r="G73" s="92"/>
      <c r="ZZ73" s="81" t="s">
        <v>187</v>
      </c>
      <c r="AAA73" s="84"/>
    </row>
    <row r="74" spans="1:703">
      <c r="A74" s="98" t="s">
        <v>358</v>
      </c>
      <c r="B74" s="89" t="s">
        <v>359</v>
      </c>
      <c r="C74" s="90" t="s">
        <v>158</v>
      </c>
      <c r="D74" s="91">
        <v>1</v>
      </c>
      <c r="E74" s="91">
        <v>1</v>
      </c>
      <c r="F74" s="92">
        <v>243.00000000000003</v>
      </c>
      <c r="G74" s="92">
        <f t="shared" si="1"/>
        <v>243.00000000000003</v>
      </c>
      <c r="ZZ74" s="81" t="s">
        <v>171</v>
      </c>
      <c r="AAA74" s="84" t="s">
        <v>360</v>
      </c>
    </row>
    <row r="75" spans="1:703">
      <c r="A75" s="98" t="s">
        <v>361</v>
      </c>
      <c r="B75" s="89" t="s">
        <v>362</v>
      </c>
      <c r="C75" s="90" t="s">
        <v>351</v>
      </c>
      <c r="D75" s="91">
        <v>3.64</v>
      </c>
      <c r="E75" s="91">
        <v>3.64</v>
      </c>
      <c r="F75" s="92">
        <v>60.750000000000007</v>
      </c>
      <c r="G75" s="92">
        <f t="shared" si="1"/>
        <v>221.13000000000002</v>
      </c>
      <c r="ZZ75" s="81" t="s">
        <v>171</v>
      </c>
      <c r="AAA75" s="84" t="s">
        <v>363</v>
      </c>
    </row>
    <row r="76" spans="1:703">
      <c r="A76" s="98" t="s">
        <v>364</v>
      </c>
      <c r="B76" s="89" t="s">
        <v>365</v>
      </c>
      <c r="C76" s="90" t="s">
        <v>229</v>
      </c>
      <c r="D76" s="91">
        <v>2</v>
      </c>
      <c r="E76" s="91">
        <v>2</v>
      </c>
      <c r="F76" s="92">
        <v>378</v>
      </c>
      <c r="G76" s="92">
        <f t="shared" si="1"/>
        <v>756</v>
      </c>
      <c r="ZZ76" s="81" t="s">
        <v>171</v>
      </c>
      <c r="AAA76" s="84" t="s">
        <v>366</v>
      </c>
    </row>
    <row r="77" spans="1:703">
      <c r="A77" s="98" t="s">
        <v>367</v>
      </c>
      <c r="B77" s="89" t="s">
        <v>368</v>
      </c>
      <c r="C77" s="90" t="s">
        <v>158</v>
      </c>
      <c r="D77" s="91">
        <v>2</v>
      </c>
      <c r="E77" s="91">
        <v>2</v>
      </c>
      <c r="F77" s="92">
        <v>128.25</v>
      </c>
      <c r="G77" s="92">
        <f t="shared" si="1"/>
        <v>256.5</v>
      </c>
      <c r="ZZ77" s="81" t="s">
        <v>171</v>
      </c>
      <c r="AAA77" s="84" t="s">
        <v>369</v>
      </c>
    </row>
    <row r="78" spans="1:703">
      <c r="A78" s="98" t="s">
        <v>370</v>
      </c>
      <c r="B78" s="89" t="s">
        <v>371</v>
      </c>
      <c r="C78" s="90" t="s">
        <v>229</v>
      </c>
      <c r="D78" s="91">
        <v>2</v>
      </c>
      <c r="E78" s="91">
        <v>2</v>
      </c>
      <c r="F78" s="92">
        <v>202.5</v>
      </c>
      <c r="G78" s="92">
        <f t="shared" si="1"/>
        <v>405</v>
      </c>
      <c r="ZZ78" s="81" t="s">
        <v>171</v>
      </c>
      <c r="AAA78" s="84" t="s">
        <v>372</v>
      </c>
    </row>
    <row r="79" spans="1:703">
      <c r="A79" s="98" t="s">
        <v>373</v>
      </c>
      <c r="B79" s="89" t="s">
        <v>374</v>
      </c>
      <c r="C79" s="90" t="s">
        <v>229</v>
      </c>
      <c r="D79" s="91">
        <v>2</v>
      </c>
      <c r="E79" s="91">
        <v>2</v>
      </c>
      <c r="F79" s="92">
        <v>1147.5</v>
      </c>
      <c r="G79" s="92">
        <f t="shared" si="1"/>
        <v>2295</v>
      </c>
      <c r="ZZ79" s="81" t="s">
        <v>171</v>
      </c>
      <c r="AAA79" s="84" t="s">
        <v>375</v>
      </c>
    </row>
    <row r="80" spans="1:703">
      <c r="A80" s="98" t="s">
        <v>376</v>
      </c>
      <c r="B80" s="89" t="s">
        <v>377</v>
      </c>
      <c r="C80" s="90" t="s">
        <v>229</v>
      </c>
      <c r="D80" s="91">
        <v>2</v>
      </c>
      <c r="E80" s="91">
        <v>2</v>
      </c>
      <c r="F80" s="92">
        <v>297</v>
      </c>
      <c r="G80" s="92">
        <f t="shared" si="1"/>
        <v>594</v>
      </c>
      <c r="ZZ80" s="81" t="s">
        <v>171</v>
      </c>
      <c r="AAA80" s="84" t="s">
        <v>378</v>
      </c>
    </row>
    <row r="81" spans="1:703">
      <c r="A81" s="98" t="s">
        <v>379</v>
      </c>
      <c r="B81" s="89" t="s">
        <v>380</v>
      </c>
      <c r="C81" s="90" t="s">
        <v>229</v>
      </c>
      <c r="D81" s="91">
        <v>2</v>
      </c>
      <c r="E81" s="91">
        <v>2</v>
      </c>
      <c r="F81" s="92">
        <v>648</v>
      </c>
      <c r="G81" s="92">
        <f t="shared" si="1"/>
        <v>1296</v>
      </c>
      <c r="ZZ81" s="81" t="s">
        <v>171</v>
      </c>
      <c r="AAA81" s="84" t="s">
        <v>381</v>
      </c>
    </row>
    <row r="82" spans="1:703">
      <c r="A82" s="98" t="s">
        <v>382</v>
      </c>
      <c r="B82" s="89" t="s">
        <v>383</v>
      </c>
      <c r="C82" s="90" t="s">
        <v>158</v>
      </c>
      <c r="D82" s="91">
        <v>2</v>
      </c>
      <c r="E82" s="91">
        <v>2</v>
      </c>
      <c r="F82" s="92">
        <v>128.25</v>
      </c>
      <c r="G82" s="92">
        <f t="shared" si="1"/>
        <v>256.5</v>
      </c>
      <c r="ZZ82" s="81" t="s">
        <v>171</v>
      </c>
      <c r="AAA82" s="84" t="s">
        <v>384</v>
      </c>
    </row>
    <row r="83" spans="1:703" ht="47.25">
      <c r="A83" s="98" t="s">
        <v>385</v>
      </c>
      <c r="B83" s="89" t="s">
        <v>386</v>
      </c>
      <c r="C83" s="90" t="s">
        <v>229</v>
      </c>
      <c r="D83" s="91">
        <v>1</v>
      </c>
      <c r="E83" s="91">
        <v>1</v>
      </c>
      <c r="F83" s="92">
        <v>877.50000000000011</v>
      </c>
      <c r="G83" s="92">
        <f t="shared" si="1"/>
        <v>877.50000000000011</v>
      </c>
      <c r="ZZ83" s="81" t="s">
        <v>171</v>
      </c>
      <c r="AAA83" s="84" t="s">
        <v>387</v>
      </c>
    </row>
    <row r="84" spans="1:703" ht="47.25">
      <c r="A84" s="98" t="s">
        <v>388</v>
      </c>
      <c r="B84" s="89" t="s">
        <v>389</v>
      </c>
      <c r="C84" s="90" t="s">
        <v>158</v>
      </c>
      <c r="D84" s="91">
        <v>40</v>
      </c>
      <c r="E84" s="91">
        <v>40</v>
      </c>
      <c r="F84" s="92">
        <v>24.3</v>
      </c>
      <c r="G84" s="92">
        <f t="shared" si="1"/>
        <v>972</v>
      </c>
      <c r="ZZ84" s="81" t="s">
        <v>171</v>
      </c>
      <c r="AAA84" s="84" t="s">
        <v>390</v>
      </c>
    </row>
    <row r="85" spans="1:703" ht="47.25">
      <c r="A85" s="98" t="s">
        <v>391</v>
      </c>
      <c r="B85" s="89" t="s">
        <v>392</v>
      </c>
      <c r="C85" s="90" t="s">
        <v>229</v>
      </c>
      <c r="D85" s="91">
        <v>2</v>
      </c>
      <c r="E85" s="91">
        <v>2</v>
      </c>
      <c r="F85" s="92">
        <v>378</v>
      </c>
      <c r="G85" s="92">
        <f t="shared" si="1"/>
        <v>756</v>
      </c>
      <c r="ZZ85" s="81" t="s">
        <v>171</v>
      </c>
      <c r="AAA85" s="84" t="s">
        <v>393</v>
      </c>
    </row>
    <row r="86" spans="1:703" ht="47.25">
      <c r="A86" s="98" t="s">
        <v>394</v>
      </c>
      <c r="B86" s="89" t="s">
        <v>395</v>
      </c>
      <c r="C86" s="90" t="s">
        <v>0</v>
      </c>
      <c r="D86" s="91">
        <v>3.3</v>
      </c>
      <c r="E86" s="91">
        <v>3.3</v>
      </c>
      <c r="F86" s="92">
        <v>60.750000000000007</v>
      </c>
      <c r="G86" s="92">
        <f t="shared" si="1"/>
        <v>200.47500000000002</v>
      </c>
      <c r="ZZ86" s="81" t="s">
        <v>171</v>
      </c>
      <c r="AAA86" s="84" t="s">
        <v>396</v>
      </c>
    </row>
    <row r="87" spans="1:703" ht="47.25">
      <c r="A87" s="98" t="s">
        <v>397</v>
      </c>
      <c r="B87" s="89" t="s">
        <v>398</v>
      </c>
      <c r="C87" s="90" t="s">
        <v>0</v>
      </c>
      <c r="D87" s="91">
        <v>43.15</v>
      </c>
      <c r="E87" s="91">
        <v>43.15</v>
      </c>
      <c r="F87" s="92">
        <v>37.800000000000004</v>
      </c>
      <c r="G87" s="92">
        <f t="shared" si="1"/>
        <v>1631.0700000000002</v>
      </c>
      <c r="ZZ87" s="81" t="s">
        <v>171</v>
      </c>
      <c r="AAA87" s="84" t="s">
        <v>399</v>
      </c>
    </row>
    <row r="88" spans="1:703" ht="47.25">
      <c r="A88" s="98" t="s">
        <v>400</v>
      </c>
      <c r="B88" s="89" t="s">
        <v>401</v>
      </c>
      <c r="C88" s="90" t="s">
        <v>158</v>
      </c>
      <c r="D88" s="91">
        <v>2</v>
      </c>
      <c r="E88" s="91">
        <v>2</v>
      </c>
      <c r="F88" s="92">
        <v>513</v>
      </c>
      <c r="G88" s="92">
        <f t="shared" si="1"/>
        <v>1026</v>
      </c>
      <c r="ZZ88" s="81" t="s">
        <v>171</v>
      </c>
      <c r="AAA88" s="84" t="s">
        <v>402</v>
      </c>
    </row>
    <row r="89" spans="1:703" ht="47.25">
      <c r="A89" s="98" t="s">
        <v>403</v>
      </c>
      <c r="B89" s="89" t="s">
        <v>404</v>
      </c>
      <c r="C89" s="90" t="s">
        <v>229</v>
      </c>
      <c r="D89" s="91">
        <v>1</v>
      </c>
      <c r="E89" s="91">
        <v>1</v>
      </c>
      <c r="F89" s="92">
        <v>877.50000000000011</v>
      </c>
      <c r="G89" s="92">
        <f t="shared" si="1"/>
        <v>877.50000000000011</v>
      </c>
      <c r="ZZ89" s="81" t="s">
        <v>171</v>
      </c>
      <c r="AAA89" s="84" t="s">
        <v>405</v>
      </c>
    </row>
    <row r="90" spans="1:703" ht="47.25">
      <c r="A90" s="98" t="s">
        <v>406</v>
      </c>
      <c r="B90" s="89" t="s">
        <v>407</v>
      </c>
      <c r="C90" s="90" t="s">
        <v>158</v>
      </c>
      <c r="D90" s="91">
        <v>19</v>
      </c>
      <c r="E90" s="91">
        <v>19</v>
      </c>
      <c r="F90" s="92">
        <v>87.75</v>
      </c>
      <c r="G90" s="92">
        <f t="shared" si="1"/>
        <v>1667.25</v>
      </c>
      <c r="ZZ90" s="81" t="s">
        <v>171</v>
      </c>
      <c r="AAA90" s="84" t="s">
        <v>408</v>
      </c>
    </row>
    <row r="91" spans="1:703" ht="47.25">
      <c r="A91" s="98" t="s">
        <v>409</v>
      </c>
      <c r="B91" s="89" t="s">
        <v>410</v>
      </c>
      <c r="C91" s="90" t="s">
        <v>1</v>
      </c>
      <c r="D91" s="91">
        <v>2</v>
      </c>
      <c r="E91" s="91">
        <v>2</v>
      </c>
      <c r="F91" s="92">
        <v>243.00000000000003</v>
      </c>
      <c r="G91" s="92">
        <f t="shared" si="1"/>
        <v>486.00000000000006</v>
      </c>
      <c r="I91" s="99"/>
      <c r="ZZ91" s="81" t="s">
        <v>171</v>
      </c>
      <c r="AAA91" s="84" t="s">
        <v>411</v>
      </c>
    </row>
    <row r="92" spans="1:703" ht="31.5">
      <c r="A92" s="93" t="s">
        <v>412</v>
      </c>
      <c r="B92" s="93" t="s">
        <v>413</v>
      </c>
      <c r="C92" s="94"/>
      <c r="D92" s="94"/>
      <c r="E92" s="94"/>
      <c r="F92" s="95"/>
      <c r="G92" s="92"/>
      <c r="ZZ92" s="81" t="s">
        <v>182</v>
      </c>
      <c r="AAA92" s="84"/>
    </row>
    <row r="93" spans="1:703" ht="31.5">
      <c r="A93" s="93" t="s">
        <v>414</v>
      </c>
      <c r="B93" s="96" t="s">
        <v>413</v>
      </c>
      <c r="C93" s="94"/>
      <c r="D93" s="94"/>
      <c r="E93" s="94"/>
      <c r="F93" s="95"/>
      <c r="G93" s="92"/>
      <c r="ZZ93" s="81" t="s">
        <v>187</v>
      </c>
      <c r="AAA93" s="84"/>
    </row>
    <row r="94" spans="1:703">
      <c r="A94" s="93" t="s">
        <v>415</v>
      </c>
      <c r="B94" s="96" t="s">
        <v>416</v>
      </c>
      <c r="C94" s="94"/>
      <c r="D94" s="94"/>
      <c r="E94" s="94"/>
      <c r="F94" s="95"/>
      <c r="G94" s="92"/>
      <c r="ZZ94" s="81" t="s">
        <v>187</v>
      </c>
      <c r="AAA94" s="84"/>
    </row>
    <row r="95" spans="1:703">
      <c r="A95" s="98" t="s">
        <v>417</v>
      </c>
      <c r="B95" s="89" t="s">
        <v>418</v>
      </c>
      <c r="C95" s="90" t="s">
        <v>190</v>
      </c>
      <c r="D95" s="91">
        <v>466.43</v>
      </c>
      <c r="E95" s="91">
        <v>466.43</v>
      </c>
      <c r="F95" s="92">
        <v>17.5</v>
      </c>
      <c r="G95" s="92">
        <f t="shared" ref="G95:G116" si="2">+F95*E95</f>
        <v>8162.5250000000005</v>
      </c>
      <c r="ZZ95" s="81" t="s">
        <v>171</v>
      </c>
      <c r="AAA95" s="84" t="s">
        <v>419</v>
      </c>
    </row>
    <row r="96" spans="1:703">
      <c r="A96" s="98" t="s">
        <v>420</v>
      </c>
      <c r="B96" s="89" t="s">
        <v>421</v>
      </c>
      <c r="C96" s="90" t="s">
        <v>158</v>
      </c>
      <c r="D96" s="91">
        <v>9</v>
      </c>
      <c r="E96" s="91">
        <v>9</v>
      </c>
      <c r="F96" s="92">
        <v>114.75000000000001</v>
      </c>
      <c r="G96" s="92">
        <f t="shared" si="2"/>
        <v>1032.7500000000002</v>
      </c>
      <c r="ZZ96" s="81" t="s">
        <v>171</v>
      </c>
      <c r="AAA96" s="84" t="s">
        <v>422</v>
      </c>
    </row>
    <row r="97" spans="1:703">
      <c r="A97" s="98" t="s">
        <v>423</v>
      </c>
      <c r="B97" s="89" t="s">
        <v>424</v>
      </c>
      <c r="C97" s="90" t="s">
        <v>190</v>
      </c>
      <c r="D97" s="91">
        <v>466.43</v>
      </c>
      <c r="E97" s="91">
        <v>466.43</v>
      </c>
      <c r="F97" s="92">
        <v>10.8</v>
      </c>
      <c r="G97" s="92">
        <f t="shared" si="2"/>
        <v>5037.4440000000004</v>
      </c>
      <c r="ZZ97" s="81" t="s">
        <v>171</v>
      </c>
      <c r="AAA97" s="84" t="s">
        <v>425</v>
      </c>
    </row>
    <row r="98" spans="1:703">
      <c r="A98" s="98" t="s">
        <v>426</v>
      </c>
      <c r="B98" s="89" t="s">
        <v>427</v>
      </c>
      <c r="C98" s="90" t="s">
        <v>190</v>
      </c>
      <c r="D98" s="91">
        <v>58.05</v>
      </c>
      <c r="E98" s="91">
        <v>58.05</v>
      </c>
      <c r="F98" s="92">
        <v>29.700000000000003</v>
      </c>
      <c r="G98" s="92">
        <f t="shared" si="2"/>
        <v>1724.085</v>
      </c>
      <c r="ZZ98" s="81" t="s">
        <v>171</v>
      </c>
      <c r="AAA98" s="84" t="s">
        <v>428</v>
      </c>
    </row>
    <row r="99" spans="1:703" ht="31.5">
      <c r="A99" s="93" t="s">
        <v>429</v>
      </c>
      <c r="B99" s="96" t="s">
        <v>430</v>
      </c>
      <c r="C99" s="94"/>
      <c r="D99" s="94"/>
      <c r="E99" s="94"/>
      <c r="F99" s="95"/>
      <c r="G99" s="92"/>
      <c r="ZZ99" s="81" t="s">
        <v>187</v>
      </c>
      <c r="AAA99" s="84"/>
    </row>
    <row r="100" spans="1:703">
      <c r="A100" s="88" t="s">
        <v>431</v>
      </c>
      <c r="B100" s="89" t="s">
        <v>432</v>
      </c>
      <c r="C100" s="90" t="s">
        <v>190</v>
      </c>
      <c r="D100" s="91">
        <v>34.950000000000003</v>
      </c>
      <c r="E100" s="91">
        <v>34.950000000000003</v>
      </c>
      <c r="F100" s="92">
        <v>74.25</v>
      </c>
      <c r="G100" s="92">
        <f t="shared" si="2"/>
        <v>2595.0375000000004</v>
      </c>
      <c r="ZZ100" s="81" t="s">
        <v>171</v>
      </c>
      <c r="AAA100" s="84" t="s">
        <v>433</v>
      </c>
    </row>
    <row r="101" spans="1:703">
      <c r="A101" s="88" t="s">
        <v>434</v>
      </c>
      <c r="B101" s="89" t="s">
        <v>435</v>
      </c>
      <c r="C101" s="90" t="s">
        <v>0</v>
      </c>
      <c r="D101" s="91">
        <v>51.34</v>
      </c>
      <c r="E101" s="91">
        <v>51.34</v>
      </c>
      <c r="F101" s="92">
        <v>16.200000000000003</v>
      </c>
      <c r="G101" s="92">
        <f t="shared" si="2"/>
        <v>831.7080000000002</v>
      </c>
      <c r="ZZ101" s="81" t="s">
        <v>171</v>
      </c>
      <c r="AAA101" s="84" t="s">
        <v>436</v>
      </c>
    </row>
    <row r="102" spans="1:703">
      <c r="A102" s="88" t="s">
        <v>437</v>
      </c>
      <c r="B102" s="89" t="s">
        <v>438</v>
      </c>
      <c r="C102" s="90" t="s">
        <v>190</v>
      </c>
      <c r="D102" s="91">
        <v>80.260000000000005</v>
      </c>
      <c r="E102" s="91">
        <v>80.260000000000005</v>
      </c>
      <c r="F102" s="92">
        <v>114.75000000000001</v>
      </c>
      <c r="G102" s="92">
        <f t="shared" si="2"/>
        <v>9209.8350000000009</v>
      </c>
      <c r="ZZ102" s="81" t="s">
        <v>171</v>
      </c>
      <c r="AAA102" s="84" t="s">
        <v>439</v>
      </c>
    </row>
    <row r="103" spans="1:703">
      <c r="A103" s="88" t="s">
        <v>440</v>
      </c>
      <c r="B103" s="89" t="s">
        <v>441</v>
      </c>
      <c r="C103" s="90" t="s">
        <v>190</v>
      </c>
      <c r="D103" s="91">
        <v>0.62</v>
      </c>
      <c r="E103" s="91">
        <v>0.62</v>
      </c>
      <c r="F103" s="92">
        <v>128.25</v>
      </c>
      <c r="G103" s="92">
        <f t="shared" si="2"/>
        <v>79.515000000000001</v>
      </c>
      <c r="ZZ103" s="81" t="s">
        <v>171</v>
      </c>
      <c r="AAA103" s="84" t="s">
        <v>442</v>
      </c>
    </row>
    <row r="104" spans="1:703">
      <c r="A104" s="88" t="s">
        <v>443</v>
      </c>
      <c r="B104" s="89" t="s">
        <v>444</v>
      </c>
      <c r="C104" s="90" t="s">
        <v>190</v>
      </c>
      <c r="D104" s="91">
        <v>0.73</v>
      </c>
      <c r="E104" s="91">
        <v>0.73</v>
      </c>
      <c r="F104" s="92">
        <v>132.30000000000001</v>
      </c>
      <c r="G104" s="92">
        <f t="shared" si="2"/>
        <v>96.579000000000008</v>
      </c>
      <c r="ZZ104" s="81" t="s">
        <v>171</v>
      </c>
      <c r="AAA104" s="84" t="s">
        <v>445</v>
      </c>
    </row>
    <row r="105" spans="1:703">
      <c r="A105" s="88" t="s">
        <v>446</v>
      </c>
      <c r="B105" s="89" t="s">
        <v>447</v>
      </c>
      <c r="C105" s="90" t="s">
        <v>0</v>
      </c>
      <c r="D105" s="91">
        <v>162.01</v>
      </c>
      <c r="E105" s="91">
        <v>162.01</v>
      </c>
      <c r="F105" s="92">
        <v>29.700000000000003</v>
      </c>
      <c r="G105" s="92">
        <f t="shared" si="2"/>
        <v>4811.6970000000001</v>
      </c>
      <c r="ZZ105" s="81" t="s">
        <v>171</v>
      </c>
      <c r="AAA105" s="84" t="s">
        <v>448</v>
      </c>
    </row>
    <row r="106" spans="1:703" ht="31.5">
      <c r="A106" s="93" t="s">
        <v>449</v>
      </c>
      <c r="B106" s="96" t="s">
        <v>450</v>
      </c>
      <c r="C106" s="94"/>
      <c r="D106" s="94"/>
      <c r="E106" s="94"/>
      <c r="F106" s="95"/>
      <c r="G106" s="92"/>
      <c r="ZZ106" s="81" t="s">
        <v>187</v>
      </c>
      <c r="AAA106" s="84"/>
    </row>
    <row r="107" spans="1:703">
      <c r="A107" s="88" t="s">
        <v>451</v>
      </c>
      <c r="B107" s="89" t="s">
        <v>452</v>
      </c>
      <c r="C107" s="90" t="s">
        <v>190</v>
      </c>
      <c r="D107" s="91">
        <v>377.18</v>
      </c>
      <c r="E107" s="91">
        <v>377.18</v>
      </c>
      <c r="F107" s="92">
        <v>58</v>
      </c>
      <c r="G107" s="92">
        <f t="shared" si="2"/>
        <v>21876.44</v>
      </c>
      <c r="ZZ107" s="81" t="s">
        <v>171</v>
      </c>
      <c r="AAA107" s="84" t="s">
        <v>453</v>
      </c>
    </row>
    <row r="108" spans="1:703">
      <c r="A108" s="88" t="s">
        <v>454</v>
      </c>
      <c r="B108" s="89" t="s">
        <v>455</v>
      </c>
      <c r="C108" s="90" t="s">
        <v>0</v>
      </c>
      <c r="D108" s="91">
        <v>527.66</v>
      </c>
      <c r="E108" s="91">
        <v>527.66</v>
      </c>
      <c r="F108" s="92">
        <v>13.5</v>
      </c>
      <c r="G108" s="92">
        <f t="shared" si="2"/>
        <v>7123.41</v>
      </c>
      <c r="ZZ108" s="81" t="s">
        <v>171</v>
      </c>
      <c r="AAA108" s="84" t="s">
        <v>456</v>
      </c>
    </row>
    <row r="109" spans="1:703">
      <c r="A109" s="93" t="s">
        <v>457</v>
      </c>
      <c r="B109" s="96" t="s">
        <v>458</v>
      </c>
      <c r="C109" s="94"/>
      <c r="D109" s="94"/>
      <c r="E109" s="94"/>
      <c r="F109" s="95">
        <v>0</v>
      </c>
      <c r="G109" s="92"/>
      <c r="ZZ109" s="81" t="s">
        <v>187</v>
      </c>
      <c r="AAA109" s="84"/>
    </row>
    <row r="110" spans="1:703">
      <c r="A110" s="88" t="s">
        <v>459</v>
      </c>
      <c r="B110" s="89" t="s">
        <v>460</v>
      </c>
      <c r="C110" s="90" t="s">
        <v>190</v>
      </c>
      <c r="D110" s="91">
        <v>22.35</v>
      </c>
      <c r="E110" s="91">
        <v>22.35</v>
      </c>
      <c r="F110" s="92">
        <v>64.800000000000011</v>
      </c>
      <c r="G110" s="92">
        <f t="shared" si="2"/>
        <v>1448.2800000000004</v>
      </c>
      <c r="ZZ110" s="81" t="s">
        <v>171</v>
      </c>
      <c r="AAA110" s="84" t="s">
        <v>461</v>
      </c>
    </row>
    <row r="111" spans="1:703">
      <c r="A111" s="88" t="s">
        <v>462</v>
      </c>
      <c r="B111" s="89" t="s">
        <v>463</v>
      </c>
      <c r="C111" s="90" t="s">
        <v>190</v>
      </c>
      <c r="D111" s="91">
        <v>58.05</v>
      </c>
      <c r="E111" s="91">
        <v>58.05</v>
      </c>
      <c r="F111" s="92">
        <v>64.800000000000011</v>
      </c>
      <c r="G111" s="92">
        <f t="shared" si="2"/>
        <v>3761.6400000000003</v>
      </c>
      <c r="ZZ111" s="81" t="s">
        <v>171</v>
      </c>
      <c r="AAA111" s="84" t="s">
        <v>464</v>
      </c>
    </row>
    <row r="112" spans="1:703">
      <c r="A112" s="93" t="s">
        <v>465</v>
      </c>
      <c r="B112" s="96" t="s">
        <v>466</v>
      </c>
      <c r="C112" s="94"/>
      <c r="D112" s="94"/>
      <c r="E112" s="94"/>
      <c r="F112" s="95"/>
      <c r="G112" s="92"/>
      <c r="ZZ112" s="81" t="s">
        <v>187</v>
      </c>
      <c r="AAA112" s="84"/>
    </row>
    <row r="113" spans="1:703">
      <c r="A113" s="88" t="s">
        <v>467</v>
      </c>
      <c r="B113" s="89" t="s">
        <v>468</v>
      </c>
      <c r="C113" s="90" t="s">
        <v>351</v>
      </c>
      <c r="D113" s="91">
        <v>1.9</v>
      </c>
      <c r="E113" s="91">
        <v>1.9</v>
      </c>
      <c r="F113" s="92">
        <v>128.25</v>
      </c>
      <c r="G113" s="92">
        <f t="shared" si="2"/>
        <v>243.67499999999998</v>
      </c>
      <c r="ZZ113" s="81" t="s">
        <v>171</v>
      </c>
      <c r="AAA113" s="84" t="s">
        <v>469</v>
      </c>
    </row>
    <row r="114" spans="1:703">
      <c r="A114" s="88" t="s">
        <v>470</v>
      </c>
      <c r="B114" s="89" t="s">
        <v>471</v>
      </c>
      <c r="C114" s="90" t="s">
        <v>158</v>
      </c>
      <c r="D114" s="91">
        <v>2</v>
      </c>
      <c r="E114" s="91">
        <v>2</v>
      </c>
      <c r="F114" s="92">
        <v>243.00000000000003</v>
      </c>
      <c r="G114" s="92">
        <f t="shared" si="2"/>
        <v>486.00000000000006</v>
      </c>
      <c r="ZZ114" s="81" t="s">
        <v>171</v>
      </c>
      <c r="AAA114" s="84" t="s">
        <v>472</v>
      </c>
    </row>
    <row r="115" spans="1:703">
      <c r="A115" s="88" t="s">
        <v>473</v>
      </c>
      <c r="B115" s="89" t="s">
        <v>474</v>
      </c>
      <c r="C115" s="90" t="s">
        <v>158</v>
      </c>
      <c r="D115" s="91">
        <v>2</v>
      </c>
      <c r="E115" s="91">
        <v>2</v>
      </c>
      <c r="F115" s="92">
        <v>114.75000000000001</v>
      </c>
      <c r="G115" s="92">
        <f t="shared" si="2"/>
        <v>229.50000000000003</v>
      </c>
      <c r="ZZ115" s="81" t="s">
        <v>171</v>
      </c>
      <c r="AAA115" s="84" t="s">
        <v>475</v>
      </c>
    </row>
    <row r="116" spans="1:703">
      <c r="A116" s="88" t="s">
        <v>476</v>
      </c>
      <c r="B116" s="89" t="s">
        <v>477</v>
      </c>
      <c r="C116" s="90" t="s">
        <v>158</v>
      </c>
      <c r="D116" s="91">
        <v>4</v>
      </c>
      <c r="E116" s="91">
        <v>4</v>
      </c>
      <c r="F116" s="92">
        <v>162</v>
      </c>
      <c r="G116" s="92">
        <f t="shared" si="2"/>
        <v>648</v>
      </c>
      <c r="I116" s="99"/>
      <c r="ZZ116" s="81" t="s">
        <v>171</v>
      </c>
      <c r="AAA116" s="84" t="s">
        <v>478</v>
      </c>
    </row>
    <row r="117" spans="1:703">
      <c r="A117" s="93" t="s">
        <v>479</v>
      </c>
      <c r="B117" s="93" t="s">
        <v>480</v>
      </c>
      <c r="C117" s="94"/>
      <c r="D117" s="94"/>
      <c r="E117" s="94"/>
      <c r="F117" s="95"/>
      <c r="G117" s="92"/>
      <c r="ZZ117" s="81" t="s">
        <v>182</v>
      </c>
      <c r="AAA117" s="84"/>
    </row>
    <row r="118" spans="1:703">
      <c r="A118" s="93" t="s">
        <v>481</v>
      </c>
      <c r="B118" s="93" t="s">
        <v>482</v>
      </c>
      <c r="C118" s="94"/>
      <c r="D118" s="94"/>
      <c r="E118" s="94"/>
      <c r="F118" s="95"/>
      <c r="G118" s="92"/>
      <c r="ZZ118" s="81" t="s">
        <v>182</v>
      </c>
      <c r="AAA118" s="84"/>
    </row>
    <row r="119" spans="1:703">
      <c r="A119" s="93" t="s">
        <v>483</v>
      </c>
      <c r="B119" s="96" t="s">
        <v>484</v>
      </c>
      <c r="C119" s="94"/>
      <c r="D119" s="94"/>
      <c r="E119" s="94"/>
      <c r="F119" s="95"/>
      <c r="G119" s="92"/>
      <c r="ZZ119" s="81" t="s">
        <v>187</v>
      </c>
      <c r="AAA119" s="84"/>
    </row>
    <row r="120" spans="1:703" ht="31.5">
      <c r="A120" s="88" t="s">
        <v>485</v>
      </c>
      <c r="B120" s="89" t="s">
        <v>486</v>
      </c>
      <c r="C120" s="90" t="s">
        <v>190</v>
      </c>
      <c r="D120" s="91">
        <v>215.51</v>
      </c>
      <c r="E120" s="91">
        <v>215.51</v>
      </c>
      <c r="F120" s="92">
        <v>24.3</v>
      </c>
      <c r="G120" s="92">
        <f t="shared" ref="G120:G121" si="3">+F120*E120</f>
        <v>5236.893</v>
      </c>
      <c r="ZZ120" s="81" t="s">
        <v>171</v>
      </c>
      <c r="AAA120" s="84" t="s">
        <v>487</v>
      </c>
    </row>
    <row r="121" spans="1:703">
      <c r="A121" s="88" t="s">
        <v>488</v>
      </c>
      <c r="B121" s="89" t="s">
        <v>489</v>
      </c>
      <c r="C121" s="90" t="s">
        <v>229</v>
      </c>
      <c r="D121" s="91">
        <v>2</v>
      </c>
      <c r="E121" s="91">
        <v>2</v>
      </c>
      <c r="F121" s="92">
        <v>877.50000000000011</v>
      </c>
      <c r="G121" s="92">
        <f t="shared" si="3"/>
        <v>1755.0000000000002</v>
      </c>
      <c r="ZZ121" s="81" t="s">
        <v>171</v>
      </c>
      <c r="AAA121" s="84" t="s">
        <v>490</v>
      </c>
    </row>
    <row r="122" spans="1:703">
      <c r="A122" s="93" t="s">
        <v>491</v>
      </c>
      <c r="B122" s="96" t="s">
        <v>492</v>
      </c>
      <c r="C122" s="94"/>
      <c r="D122" s="94"/>
      <c r="E122" s="94"/>
      <c r="F122" s="95"/>
      <c r="G122" s="92"/>
      <c r="ZZ122" s="81" t="s">
        <v>187</v>
      </c>
      <c r="AAA122" s="84"/>
    </row>
    <row r="123" spans="1:703">
      <c r="A123" s="88" t="s">
        <v>493</v>
      </c>
      <c r="B123" s="89" t="s">
        <v>494</v>
      </c>
      <c r="C123" s="90" t="s">
        <v>190</v>
      </c>
      <c r="D123" s="91">
        <v>93.9</v>
      </c>
      <c r="E123" s="91">
        <v>93.9</v>
      </c>
      <c r="F123" s="92">
        <v>18.900000000000002</v>
      </c>
      <c r="G123" s="92">
        <f t="shared" ref="G123:G142" si="4">+F123*E123</f>
        <v>1774.7100000000003</v>
      </c>
      <c r="ZZ123" s="81" t="s">
        <v>171</v>
      </c>
      <c r="AAA123" s="84" t="s">
        <v>495</v>
      </c>
    </row>
    <row r="124" spans="1:703">
      <c r="A124" s="88" t="s">
        <v>496</v>
      </c>
      <c r="B124" s="89" t="s">
        <v>497</v>
      </c>
      <c r="C124" s="90" t="s">
        <v>190</v>
      </c>
      <c r="D124" s="91">
        <v>1496.38</v>
      </c>
      <c r="E124" s="91">
        <v>1496.38</v>
      </c>
      <c r="F124" s="92">
        <v>23.8</v>
      </c>
      <c r="G124" s="92">
        <f t="shared" si="4"/>
        <v>35613.844000000005</v>
      </c>
      <c r="ZZ124" s="81" t="s">
        <v>171</v>
      </c>
      <c r="AAA124" s="84" t="s">
        <v>498</v>
      </c>
    </row>
    <row r="125" spans="1:703">
      <c r="A125" s="88" t="s">
        <v>499</v>
      </c>
      <c r="B125" s="89" t="s">
        <v>500</v>
      </c>
      <c r="C125" s="90" t="s">
        <v>190</v>
      </c>
      <c r="D125" s="91">
        <v>318.08999999999997</v>
      </c>
      <c r="E125" s="91">
        <v>318.08999999999997</v>
      </c>
      <c r="F125" s="92">
        <v>21.6</v>
      </c>
      <c r="G125" s="92">
        <f t="shared" si="4"/>
        <v>6870.7439999999997</v>
      </c>
      <c r="ZZ125" s="81" t="s">
        <v>171</v>
      </c>
      <c r="AAA125" s="84" t="s">
        <v>501</v>
      </c>
    </row>
    <row r="126" spans="1:703">
      <c r="A126" s="88" t="s">
        <v>502</v>
      </c>
      <c r="B126" s="89" t="s">
        <v>503</v>
      </c>
      <c r="C126" s="90" t="s">
        <v>190</v>
      </c>
      <c r="D126" s="91">
        <v>141.99</v>
      </c>
      <c r="E126" s="91">
        <v>141.99</v>
      </c>
      <c r="F126" s="92">
        <v>24.3</v>
      </c>
      <c r="G126" s="92">
        <f t="shared" si="4"/>
        <v>3450.3570000000004</v>
      </c>
      <c r="ZZ126" s="81" t="s">
        <v>171</v>
      </c>
      <c r="AAA126" s="84" t="s">
        <v>504</v>
      </c>
    </row>
    <row r="127" spans="1:703">
      <c r="A127" s="88" t="s">
        <v>505</v>
      </c>
      <c r="B127" s="89" t="s">
        <v>506</v>
      </c>
      <c r="C127" s="90" t="s">
        <v>190</v>
      </c>
      <c r="D127" s="91">
        <v>15.7</v>
      </c>
      <c r="E127" s="91">
        <v>15.7</v>
      </c>
      <c r="F127" s="92">
        <v>29.700000000000003</v>
      </c>
      <c r="G127" s="92">
        <f t="shared" si="4"/>
        <v>466.29</v>
      </c>
      <c r="ZZ127" s="81" t="s">
        <v>171</v>
      </c>
      <c r="AAA127" s="84" t="s">
        <v>507</v>
      </c>
    </row>
    <row r="128" spans="1:703">
      <c r="A128" s="93" t="s">
        <v>508</v>
      </c>
      <c r="B128" s="96" t="s">
        <v>509</v>
      </c>
      <c r="C128" s="94"/>
      <c r="D128" s="94"/>
      <c r="E128" s="94"/>
      <c r="F128" s="95"/>
      <c r="G128" s="92"/>
      <c r="ZZ128" s="81" t="s">
        <v>187</v>
      </c>
      <c r="AAA128" s="84"/>
    </row>
    <row r="129" spans="1:703">
      <c r="A129" s="88" t="s">
        <v>510</v>
      </c>
      <c r="B129" s="89" t="s">
        <v>511</v>
      </c>
      <c r="C129" s="90" t="s">
        <v>190</v>
      </c>
      <c r="D129" s="91">
        <v>395.06</v>
      </c>
      <c r="E129" s="91">
        <v>395.06</v>
      </c>
      <c r="F129" s="92">
        <v>16.200000000000003</v>
      </c>
      <c r="G129" s="92">
        <f t="shared" si="4"/>
        <v>6399.9720000000016</v>
      </c>
      <c r="ZZ129" s="81" t="s">
        <v>171</v>
      </c>
      <c r="AAA129" s="84" t="s">
        <v>512</v>
      </c>
    </row>
    <row r="130" spans="1:703">
      <c r="A130" s="88" t="s">
        <v>513</v>
      </c>
      <c r="B130" s="89" t="s">
        <v>514</v>
      </c>
      <c r="C130" s="90" t="s">
        <v>190</v>
      </c>
      <c r="D130" s="91">
        <v>56.8</v>
      </c>
      <c r="E130" s="91">
        <v>56.8</v>
      </c>
      <c r="F130" s="92">
        <v>20.25</v>
      </c>
      <c r="G130" s="92">
        <f t="shared" si="4"/>
        <v>1150.2</v>
      </c>
      <c r="ZZ130" s="81" t="s">
        <v>171</v>
      </c>
      <c r="AAA130" s="84" t="s">
        <v>515</v>
      </c>
    </row>
    <row r="131" spans="1:703">
      <c r="A131" s="88" t="s">
        <v>516</v>
      </c>
      <c r="B131" s="89" t="s">
        <v>517</v>
      </c>
      <c r="C131" s="90" t="s">
        <v>190</v>
      </c>
      <c r="D131" s="91">
        <v>168</v>
      </c>
      <c r="E131" s="91">
        <v>168</v>
      </c>
      <c r="F131" s="92">
        <v>18.900000000000002</v>
      </c>
      <c r="G131" s="92">
        <f t="shared" si="4"/>
        <v>3175.2000000000003</v>
      </c>
      <c r="ZZ131" s="81" t="s">
        <v>171</v>
      </c>
      <c r="AAA131" s="84" t="s">
        <v>518</v>
      </c>
    </row>
    <row r="132" spans="1:703">
      <c r="A132" s="93" t="s">
        <v>519</v>
      </c>
      <c r="B132" s="96" t="s">
        <v>520</v>
      </c>
      <c r="C132" s="94"/>
      <c r="D132" s="94"/>
      <c r="E132" s="94"/>
      <c r="F132" s="95"/>
      <c r="G132" s="92"/>
      <c r="ZZ132" s="81" t="s">
        <v>187</v>
      </c>
      <c r="AAA132" s="84"/>
    </row>
    <row r="133" spans="1:703" ht="31.5">
      <c r="A133" s="100" t="s">
        <v>521</v>
      </c>
      <c r="B133" s="89" t="s">
        <v>522</v>
      </c>
      <c r="C133" s="90" t="s">
        <v>229</v>
      </c>
      <c r="D133" s="91">
        <v>3</v>
      </c>
      <c r="E133" s="91">
        <v>3</v>
      </c>
      <c r="F133" s="92">
        <v>243.00000000000003</v>
      </c>
      <c r="G133" s="92">
        <f t="shared" si="4"/>
        <v>729.00000000000011</v>
      </c>
      <c r="ZZ133" s="81" t="s">
        <v>171</v>
      </c>
      <c r="AAA133" s="84" t="s">
        <v>523</v>
      </c>
    </row>
    <row r="134" spans="1:703" ht="31.5">
      <c r="A134" s="101" t="s">
        <v>524</v>
      </c>
      <c r="B134" s="96" t="s">
        <v>525</v>
      </c>
      <c r="C134" s="94"/>
      <c r="D134" s="94"/>
      <c r="E134" s="94"/>
      <c r="F134" s="95"/>
      <c r="G134" s="92"/>
      <c r="ZZ134" s="81" t="s">
        <v>187</v>
      </c>
      <c r="AAA134" s="84"/>
    </row>
    <row r="135" spans="1:703">
      <c r="A135" s="100" t="s">
        <v>526</v>
      </c>
      <c r="B135" s="89" t="s">
        <v>527</v>
      </c>
      <c r="C135" s="90" t="s">
        <v>229</v>
      </c>
      <c r="D135" s="91">
        <v>2</v>
      </c>
      <c r="E135" s="91">
        <v>2</v>
      </c>
      <c r="F135" s="92">
        <v>472.50000000000006</v>
      </c>
      <c r="G135" s="92">
        <f t="shared" si="4"/>
        <v>945.00000000000011</v>
      </c>
      <c r="ZZ135" s="81" t="s">
        <v>171</v>
      </c>
      <c r="AAA135" s="84" t="s">
        <v>528</v>
      </c>
    </row>
    <row r="136" spans="1:703">
      <c r="A136" s="100" t="s">
        <v>529</v>
      </c>
      <c r="B136" s="89" t="s">
        <v>530</v>
      </c>
      <c r="C136" s="90" t="s">
        <v>229</v>
      </c>
      <c r="D136" s="91">
        <v>2</v>
      </c>
      <c r="E136" s="91">
        <v>2</v>
      </c>
      <c r="F136" s="92">
        <v>378</v>
      </c>
      <c r="G136" s="92">
        <f t="shared" si="4"/>
        <v>756</v>
      </c>
      <c r="ZZ136" s="81" t="s">
        <v>171</v>
      </c>
      <c r="AAA136" s="84" t="s">
        <v>531</v>
      </c>
    </row>
    <row r="137" spans="1:703">
      <c r="A137" s="100" t="s">
        <v>532</v>
      </c>
      <c r="B137" s="89" t="s">
        <v>533</v>
      </c>
      <c r="C137" s="90" t="s">
        <v>229</v>
      </c>
      <c r="D137" s="91">
        <v>2</v>
      </c>
      <c r="E137" s="91">
        <v>2</v>
      </c>
      <c r="F137" s="92">
        <v>297</v>
      </c>
      <c r="G137" s="92">
        <f t="shared" si="4"/>
        <v>594</v>
      </c>
      <c r="ZZ137" s="81" t="s">
        <v>171</v>
      </c>
      <c r="AAA137" s="84" t="s">
        <v>534</v>
      </c>
    </row>
    <row r="138" spans="1:703">
      <c r="A138" s="101" t="s">
        <v>535</v>
      </c>
      <c r="B138" s="96" t="s">
        <v>536</v>
      </c>
      <c r="C138" s="94"/>
      <c r="D138" s="94"/>
      <c r="E138" s="94"/>
      <c r="F138" s="95"/>
      <c r="G138" s="92"/>
      <c r="ZZ138" s="81" t="s">
        <v>187</v>
      </c>
      <c r="AAA138" s="84"/>
    </row>
    <row r="139" spans="1:703">
      <c r="A139" s="100" t="s">
        <v>537</v>
      </c>
      <c r="B139" s="89" t="s">
        <v>538</v>
      </c>
      <c r="C139" s="90" t="s">
        <v>190</v>
      </c>
      <c r="D139" s="91">
        <v>39.630000000000003</v>
      </c>
      <c r="E139" s="91">
        <v>39.630000000000003</v>
      </c>
      <c r="F139" s="92">
        <v>18.900000000000002</v>
      </c>
      <c r="G139" s="92">
        <f t="shared" si="4"/>
        <v>749.00700000000018</v>
      </c>
      <c r="ZZ139" s="81" t="s">
        <v>171</v>
      </c>
      <c r="AAA139" s="84" t="s">
        <v>539</v>
      </c>
    </row>
    <row r="140" spans="1:703">
      <c r="A140" s="101" t="s">
        <v>540</v>
      </c>
      <c r="B140" s="96" t="s">
        <v>541</v>
      </c>
      <c r="C140" s="94"/>
      <c r="D140" s="94"/>
      <c r="E140" s="94"/>
      <c r="F140" s="95"/>
      <c r="G140" s="92"/>
      <c r="ZZ140" s="81" t="s">
        <v>187</v>
      </c>
      <c r="AAA140" s="84"/>
    </row>
    <row r="141" spans="1:703">
      <c r="A141" s="100" t="s">
        <v>542</v>
      </c>
      <c r="B141" s="89" t="s">
        <v>543</v>
      </c>
      <c r="C141" s="90" t="s">
        <v>229</v>
      </c>
      <c r="D141" s="91">
        <v>2</v>
      </c>
      <c r="E141" s="91">
        <v>2</v>
      </c>
      <c r="F141" s="92">
        <v>1620</v>
      </c>
      <c r="G141" s="92">
        <f t="shared" si="4"/>
        <v>3240</v>
      </c>
      <c r="ZZ141" s="81" t="s">
        <v>171</v>
      </c>
      <c r="AAA141" s="84" t="s">
        <v>544</v>
      </c>
    </row>
    <row r="142" spans="1:703">
      <c r="A142" s="100" t="s">
        <v>545</v>
      </c>
      <c r="B142" s="89" t="s">
        <v>546</v>
      </c>
      <c r="C142" s="90" t="s">
        <v>229</v>
      </c>
      <c r="D142" s="91">
        <v>2</v>
      </c>
      <c r="E142" s="91">
        <v>2</v>
      </c>
      <c r="F142" s="92">
        <v>2430</v>
      </c>
      <c r="G142" s="92">
        <f t="shared" si="4"/>
        <v>4860</v>
      </c>
      <c r="ZZ142" s="81" t="s">
        <v>171</v>
      </c>
      <c r="AAA142" s="84" t="s">
        <v>547</v>
      </c>
    </row>
    <row r="143" spans="1:703" ht="16.5" thickBot="1">
      <c r="A143" s="102"/>
      <c r="B143" s="103"/>
      <c r="C143" s="104"/>
      <c r="D143" s="104"/>
      <c r="E143" s="104"/>
      <c r="F143" s="105"/>
      <c r="G143" s="92"/>
    </row>
    <row r="144" spans="1:703" ht="32.25" thickTop="1">
      <c r="A144" s="106"/>
      <c r="B144" s="107" t="s">
        <v>548</v>
      </c>
      <c r="C144" s="108"/>
      <c r="D144" s="108"/>
      <c r="E144" s="108"/>
      <c r="F144" s="109"/>
      <c r="G144" s="110">
        <f>SUBTOTAL(109,G4:G143)</f>
        <v>367481.5508425</v>
      </c>
      <c r="ZZ144" s="81" t="s">
        <v>549</v>
      </c>
    </row>
    <row r="145" spans="1:702">
      <c r="A145" s="111">
        <v>20</v>
      </c>
      <c r="B145" s="112" t="str">
        <f>CONCATENATE("Montant TVA (",A145,"%)")</f>
        <v>Montant TVA (20%)</v>
      </c>
      <c r="C145" s="113"/>
      <c r="D145" s="113"/>
      <c r="E145" s="113"/>
      <c r="F145" s="114"/>
      <c r="G145" s="115">
        <f>(G144*A145)/100</f>
        <v>73496.3101685</v>
      </c>
      <c r="ZZ145" s="81" t="s">
        <v>550</v>
      </c>
    </row>
    <row r="146" spans="1:702" ht="16.5" thickBot="1">
      <c r="A146" s="116"/>
      <c r="B146" s="117" t="s">
        <v>551</v>
      </c>
      <c r="C146" s="116"/>
      <c r="D146" s="116"/>
      <c r="E146" s="116"/>
      <c r="F146" s="118"/>
      <c r="G146" s="119">
        <f>G144+G145</f>
        <v>440977.861011</v>
      </c>
      <c r="ZZ146" s="81" t="s">
        <v>552</v>
      </c>
    </row>
    <row r="147" spans="1:702" ht="16.5" thickBot="1">
      <c r="B147" s="120"/>
      <c r="G147" s="121"/>
    </row>
    <row r="148" spans="1:702" ht="56.25" customHeight="1" thickBot="1">
      <c r="A148" s="193" t="s">
        <v>553</v>
      </c>
      <c r="B148" s="194"/>
      <c r="C148" s="194"/>
      <c r="D148" s="194"/>
      <c r="E148" s="194"/>
      <c r="F148" s="194"/>
      <c r="G148" s="195"/>
    </row>
    <row r="149" spans="1:702">
      <c r="A149" s="122"/>
      <c r="B149" s="123"/>
      <c r="C149" s="124"/>
      <c r="D149" s="125"/>
      <c r="E149" s="125"/>
      <c r="F149" s="126"/>
      <c r="G149" s="127"/>
    </row>
    <row r="150" spans="1:702">
      <c r="A150" s="122" t="s">
        <v>554</v>
      </c>
      <c r="B150" s="128" t="s">
        <v>2</v>
      </c>
      <c r="C150" s="129"/>
      <c r="D150" s="129"/>
      <c r="E150" s="129"/>
      <c r="F150" s="130"/>
      <c r="G150" s="131"/>
    </row>
    <row r="151" spans="1:702">
      <c r="A151" s="132" t="s">
        <v>555</v>
      </c>
      <c r="B151" s="133" t="s">
        <v>3</v>
      </c>
      <c r="C151" s="134" t="s">
        <v>4</v>
      </c>
      <c r="D151" s="129"/>
      <c r="E151" s="134"/>
      <c r="F151" s="92"/>
      <c r="G151" s="135"/>
    </row>
    <row r="152" spans="1:702">
      <c r="A152" s="132" t="s">
        <v>556</v>
      </c>
      <c r="B152" s="133" t="s">
        <v>5</v>
      </c>
      <c r="C152" s="134" t="s">
        <v>4</v>
      </c>
      <c r="D152" s="129"/>
      <c r="E152" s="134"/>
      <c r="F152" s="92"/>
      <c r="G152" s="135"/>
    </row>
    <row r="153" spans="1:702">
      <c r="A153" s="132" t="s">
        <v>557</v>
      </c>
      <c r="B153" s="133" t="s">
        <v>6</v>
      </c>
      <c r="C153" s="134" t="s">
        <v>4</v>
      </c>
      <c r="D153" s="129"/>
      <c r="E153" s="134"/>
      <c r="F153" s="92"/>
      <c r="G153" s="135"/>
    </row>
    <row r="154" spans="1:702">
      <c r="A154" s="132" t="s">
        <v>558</v>
      </c>
      <c r="B154" s="133" t="s">
        <v>7</v>
      </c>
      <c r="C154" s="134" t="s">
        <v>4</v>
      </c>
      <c r="D154" s="129"/>
      <c r="E154" s="134"/>
      <c r="F154" s="92"/>
      <c r="G154" s="135"/>
    </row>
    <row r="155" spans="1:702">
      <c r="A155" s="132" t="s">
        <v>559</v>
      </c>
      <c r="B155" s="133" t="s">
        <v>560</v>
      </c>
      <c r="C155" s="134" t="s">
        <v>4</v>
      </c>
      <c r="D155" s="129"/>
      <c r="E155" s="134"/>
      <c r="F155" s="92"/>
      <c r="G155" s="135"/>
    </row>
    <row r="156" spans="1:702" ht="31.5">
      <c r="A156" s="132" t="s">
        <v>561</v>
      </c>
      <c r="B156" s="133" t="s">
        <v>8</v>
      </c>
      <c r="C156" s="134" t="s">
        <v>1</v>
      </c>
      <c r="D156" s="129">
        <v>1</v>
      </c>
      <c r="E156" s="129">
        <v>1</v>
      </c>
      <c r="F156" s="92">
        <v>1558.8585</v>
      </c>
      <c r="G156" s="131">
        <f>+F156*E156</f>
        <v>1558.8585</v>
      </c>
    </row>
    <row r="157" spans="1:702" ht="31.5">
      <c r="A157" s="132" t="s">
        <v>562</v>
      </c>
      <c r="B157" s="133" t="s">
        <v>9</v>
      </c>
      <c r="C157" s="134" t="s">
        <v>1</v>
      </c>
      <c r="D157" s="129">
        <v>1</v>
      </c>
      <c r="E157" s="129">
        <v>1</v>
      </c>
      <c r="F157" s="92">
        <v>5456.004750000001</v>
      </c>
      <c r="G157" s="131">
        <f>+F157*E157</f>
        <v>5456.004750000001</v>
      </c>
    </row>
    <row r="158" spans="1:702">
      <c r="A158" s="132" t="s">
        <v>563</v>
      </c>
      <c r="B158" s="133" t="s">
        <v>10</v>
      </c>
      <c r="C158" s="134" t="s">
        <v>4</v>
      </c>
      <c r="D158" s="129"/>
      <c r="E158" s="134"/>
      <c r="F158" s="92"/>
      <c r="G158" s="135"/>
    </row>
    <row r="159" spans="1:702">
      <c r="A159" s="132" t="s">
        <v>564</v>
      </c>
      <c r="B159" s="133" t="s">
        <v>11</v>
      </c>
      <c r="C159" s="134" t="s">
        <v>4</v>
      </c>
      <c r="D159" s="129"/>
      <c r="E159" s="134"/>
      <c r="F159" s="92"/>
      <c r="G159" s="131"/>
    </row>
    <row r="160" spans="1:702">
      <c r="A160" s="132"/>
      <c r="B160" s="133"/>
      <c r="C160" s="134"/>
      <c r="D160" s="129"/>
      <c r="E160" s="134"/>
      <c r="F160" s="92"/>
      <c r="G160" s="135"/>
    </row>
    <row r="161" spans="1:7">
      <c r="A161" s="122" t="s">
        <v>565</v>
      </c>
      <c r="B161" s="128" t="s">
        <v>29</v>
      </c>
      <c r="C161" s="129" t="s">
        <v>4</v>
      </c>
      <c r="D161" s="129" t="s">
        <v>4</v>
      </c>
      <c r="E161" s="129"/>
      <c r="F161" s="92"/>
      <c r="G161" s="131"/>
    </row>
    <row r="162" spans="1:7">
      <c r="A162" s="122"/>
      <c r="B162" s="128"/>
      <c r="C162" s="136"/>
      <c r="D162" s="136"/>
      <c r="E162" s="136"/>
      <c r="F162" s="92"/>
      <c r="G162" s="131"/>
    </row>
    <row r="163" spans="1:7">
      <c r="A163" s="122" t="s">
        <v>566</v>
      </c>
      <c r="B163" s="137" t="s">
        <v>567</v>
      </c>
      <c r="C163" s="129"/>
      <c r="D163" s="138"/>
      <c r="E163" s="138"/>
      <c r="F163" s="92"/>
      <c r="G163" s="131"/>
    </row>
    <row r="164" spans="1:7">
      <c r="A164" s="122"/>
      <c r="B164" s="139"/>
      <c r="C164" s="129"/>
      <c r="D164" s="138"/>
      <c r="E164" s="138"/>
      <c r="F164" s="92"/>
      <c r="G164" s="131"/>
    </row>
    <row r="165" spans="1:7" ht="31.5">
      <c r="A165" s="132" t="s">
        <v>568</v>
      </c>
      <c r="B165" s="133" t="s">
        <v>569</v>
      </c>
      <c r="C165" s="129"/>
      <c r="D165" s="129"/>
      <c r="E165" s="129"/>
      <c r="F165" s="92"/>
      <c r="G165" s="131"/>
    </row>
    <row r="166" spans="1:7" ht="31.5">
      <c r="A166" s="132"/>
      <c r="B166" s="140" t="s">
        <v>570</v>
      </c>
      <c r="C166" s="134" t="s">
        <v>1</v>
      </c>
      <c r="D166" s="129">
        <v>2</v>
      </c>
      <c r="E166" s="129">
        <v>2</v>
      </c>
      <c r="F166" s="92">
        <v>1147.5</v>
      </c>
      <c r="G166" s="131">
        <f>+F166*E166</f>
        <v>2295</v>
      </c>
    </row>
    <row r="167" spans="1:7" ht="31.5">
      <c r="A167" s="132"/>
      <c r="B167" s="140" t="s">
        <v>571</v>
      </c>
      <c r="C167" s="134" t="s">
        <v>1</v>
      </c>
      <c r="D167" s="129">
        <v>1</v>
      </c>
      <c r="E167" s="129">
        <v>1</v>
      </c>
      <c r="F167" s="92">
        <v>877.50000000000011</v>
      </c>
      <c r="G167" s="131">
        <f t="shared" ref="G167:G168" si="5">+F167*E167</f>
        <v>877.50000000000011</v>
      </c>
    </row>
    <row r="168" spans="1:7" ht="31.5">
      <c r="A168" s="122"/>
      <c r="B168" s="140" t="s">
        <v>572</v>
      </c>
      <c r="C168" s="134" t="s">
        <v>1</v>
      </c>
      <c r="D168" s="129">
        <v>2</v>
      </c>
      <c r="E168" s="129">
        <v>2</v>
      </c>
      <c r="F168" s="92">
        <v>1012.5000000000001</v>
      </c>
      <c r="G168" s="131">
        <f t="shared" si="5"/>
        <v>2025.0000000000002</v>
      </c>
    </row>
    <row r="169" spans="1:7">
      <c r="A169" s="122"/>
      <c r="B169" s="140"/>
      <c r="C169" s="134"/>
      <c r="D169" s="129"/>
      <c r="E169" s="129"/>
      <c r="F169" s="92"/>
      <c r="G169" s="131"/>
    </row>
    <row r="170" spans="1:7">
      <c r="A170" s="132" t="s">
        <v>573</v>
      </c>
      <c r="B170" s="133" t="s">
        <v>7</v>
      </c>
      <c r="C170" s="129"/>
      <c r="D170" s="129"/>
      <c r="E170" s="129"/>
      <c r="F170" s="92"/>
      <c r="G170" s="131"/>
    </row>
    <row r="171" spans="1:7" ht="31.5">
      <c r="A171" s="141" t="s">
        <v>574</v>
      </c>
      <c r="B171" s="123" t="s">
        <v>575</v>
      </c>
      <c r="C171" s="129" t="s">
        <v>4</v>
      </c>
      <c r="D171" s="129" t="s">
        <v>4</v>
      </c>
      <c r="E171" s="129"/>
      <c r="F171" s="92"/>
      <c r="G171" s="131"/>
    </row>
    <row r="172" spans="1:7">
      <c r="A172" s="125"/>
      <c r="B172" s="128"/>
      <c r="C172" s="129"/>
      <c r="D172" s="129"/>
      <c r="E172" s="129"/>
      <c r="F172" s="92"/>
      <c r="G172" s="131"/>
    </row>
    <row r="173" spans="1:7" ht="31.5">
      <c r="A173" s="141" t="s">
        <v>576</v>
      </c>
      <c r="B173" s="123" t="s">
        <v>577</v>
      </c>
      <c r="C173" s="129"/>
      <c r="D173" s="129"/>
      <c r="E173" s="129"/>
      <c r="F173" s="92"/>
      <c r="G173" s="131"/>
    </row>
    <row r="174" spans="1:7" ht="31.5">
      <c r="A174" s="122"/>
      <c r="B174" s="142" t="s">
        <v>578</v>
      </c>
      <c r="C174" s="129" t="s">
        <v>1</v>
      </c>
      <c r="D174" s="129">
        <v>2</v>
      </c>
      <c r="E174" s="129">
        <v>2</v>
      </c>
      <c r="F174" s="92">
        <v>1620</v>
      </c>
      <c r="G174" s="131">
        <f t="shared" ref="G174" si="6">+F174*E174</f>
        <v>3240</v>
      </c>
    </row>
    <row r="175" spans="1:7">
      <c r="A175" s="122"/>
      <c r="B175" s="128"/>
      <c r="C175" s="129"/>
      <c r="D175" s="129"/>
      <c r="E175" s="129"/>
      <c r="F175" s="92"/>
      <c r="G175" s="131"/>
    </row>
    <row r="176" spans="1:7" ht="31.5">
      <c r="A176" s="132" t="s">
        <v>579</v>
      </c>
      <c r="B176" s="123" t="s">
        <v>580</v>
      </c>
      <c r="C176" s="129"/>
      <c r="D176" s="129"/>
      <c r="E176" s="129"/>
      <c r="F176" s="92"/>
      <c r="G176" s="131"/>
    </row>
    <row r="177" spans="1:7" ht="47.25">
      <c r="A177" s="122"/>
      <c r="B177" s="142" t="s">
        <v>581</v>
      </c>
      <c r="C177" s="129" t="s">
        <v>1</v>
      </c>
      <c r="D177" s="129">
        <v>2</v>
      </c>
      <c r="E177" s="129">
        <v>2</v>
      </c>
      <c r="F177" s="92">
        <v>2430</v>
      </c>
      <c r="G177" s="131">
        <f t="shared" ref="G177" si="7">+F177*E177</f>
        <v>4860</v>
      </c>
    </row>
    <row r="178" spans="1:7">
      <c r="A178" s="122"/>
      <c r="B178" s="142" t="s">
        <v>582</v>
      </c>
      <c r="C178" s="129"/>
      <c r="D178" s="129"/>
      <c r="E178" s="129"/>
      <c r="F178" s="92"/>
      <c r="G178" s="131"/>
    </row>
    <row r="179" spans="1:7">
      <c r="A179" s="122"/>
      <c r="B179" s="142" t="s">
        <v>583</v>
      </c>
      <c r="C179" s="129"/>
      <c r="D179" s="129"/>
      <c r="E179" s="129"/>
      <c r="F179" s="92"/>
      <c r="G179" s="131"/>
    </row>
    <row r="180" spans="1:7">
      <c r="A180" s="122"/>
      <c r="B180" s="123"/>
      <c r="C180" s="129"/>
      <c r="D180" s="129"/>
      <c r="E180" s="129"/>
      <c r="F180" s="92"/>
      <c r="G180" s="131"/>
    </row>
    <row r="181" spans="1:7" ht="31.5">
      <c r="A181" s="132" t="s">
        <v>584</v>
      </c>
      <c r="B181" s="128" t="s">
        <v>585</v>
      </c>
      <c r="C181" s="129" t="s">
        <v>1</v>
      </c>
      <c r="D181" s="129">
        <v>2</v>
      </c>
      <c r="E181" s="129">
        <v>2</v>
      </c>
      <c r="F181" s="92">
        <v>1620</v>
      </c>
      <c r="G181" s="131">
        <f t="shared" ref="G181:G182" si="8">+F181*E181</f>
        <v>3240</v>
      </c>
    </row>
    <row r="182" spans="1:7" ht="31.5">
      <c r="A182" s="132" t="s">
        <v>586</v>
      </c>
      <c r="B182" s="128" t="s">
        <v>587</v>
      </c>
      <c r="C182" s="129" t="s">
        <v>1</v>
      </c>
      <c r="D182" s="129">
        <v>2</v>
      </c>
      <c r="E182" s="129">
        <v>2</v>
      </c>
      <c r="F182" s="92">
        <v>607.5</v>
      </c>
      <c r="G182" s="131">
        <f t="shared" si="8"/>
        <v>1215</v>
      </c>
    </row>
    <row r="183" spans="1:7">
      <c r="A183" s="122"/>
      <c r="B183" s="143"/>
      <c r="C183" s="129"/>
      <c r="D183" s="129"/>
      <c r="E183" s="129"/>
      <c r="F183" s="92"/>
      <c r="G183" s="131"/>
    </row>
    <row r="184" spans="1:7">
      <c r="A184" s="132" t="s">
        <v>588</v>
      </c>
      <c r="B184" s="128" t="s">
        <v>589</v>
      </c>
      <c r="C184" s="129"/>
      <c r="D184" s="129"/>
      <c r="E184" s="129"/>
      <c r="F184" s="92"/>
      <c r="G184" s="131"/>
    </row>
    <row r="185" spans="1:7">
      <c r="A185" s="122"/>
      <c r="B185" s="144"/>
      <c r="C185" s="129"/>
      <c r="D185" s="129"/>
      <c r="E185" s="129"/>
      <c r="F185" s="92"/>
      <c r="G185" s="131"/>
    </row>
    <row r="186" spans="1:7" ht="31.5">
      <c r="A186" s="132" t="s">
        <v>590</v>
      </c>
      <c r="B186" s="123" t="s">
        <v>591</v>
      </c>
      <c r="C186" s="129"/>
      <c r="D186" s="129"/>
      <c r="E186" s="129"/>
      <c r="F186" s="92"/>
      <c r="G186" s="131"/>
    </row>
    <row r="187" spans="1:7">
      <c r="A187" s="122"/>
      <c r="B187" s="142" t="s">
        <v>592</v>
      </c>
      <c r="C187" s="129" t="s">
        <v>12</v>
      </c>
      <c r="D187" s="129">
        <v>2</v>
      </c>
      <c r="E187" s="129">
        <v>2</v>
      </c>
      <c r="F187" s="92">
        <v>3780.0000000000005</v>
      </c>
      <c r="G187" s="131">
        <f t="shared" ref="G187:G188" si="9">+F187*E187</f>
        <v>7560.0000000000009</v>
      </c>
    </row>
    <row r="188" spans="1:7" ht="31.5">
      <c r="A188" s="122"/>
      <c r="B188" s="142" t="s">
        <v>593</v>
      </c>
      <c r="C188" s="129" t="s">
        <v>1</v>
      </c>
      <c r="D188" s="129">
        <v>2</v>
      </c>
      <c r="E188" s="129">
        <v>2</v>
      </c>
      <c r="F188" s="92">
        <v>472.50000000000006</v>
      </c>
      <c r="G188" s="131">
        <f t="shared" si="9"/>
        <v>945.00000000000011</v>
      </c>
    </row>
    <row r="189" spans="1:7">
      <c r="A189" s="122"/>
      <c r="B189" s="142"/>
      <c r="C189" s="129"/>
      <c r="D189" s="129"/>
      <c r="E189" s="129"/>
      <c r="F189" s="92"/>
      <c r="G189" s="131"/>
    </row>
    <row r="190" spans="1:7" ht="31.5">
      <c r="A190" s="132" t="s">
        <v>594</v>
      </c>
      <c r="B190" s="145" t="s">
        <v>595</v>
      </c>
      <c r="C190" s="129"/>
      <c r="D190" s="129"/>
      <c r="E190" s="129"/>
      <c r="F190" s="92"/>
      <c r="G190" s="131"/>
    </row>
    <row r="191" spans="1:7" ht="31.5">
      <c r="A191" s="122"/>
      <c r="B191" s="146" t="s">
        <v>596</v>
      </c>
      <c r="C191" s="134"/>
      <c r="D191" s="134"/>
      <c r="E191" s="129"/>
      <c r="F191" s="92"/>
      <c r="G191" s="131"/>
    </row>
    <row r="192" spans="1:7" ht="31.5">
      <c r="A192" s="122"/>
      <c r="B192" s="146" t="s">
        <v>597</v>
      </c>
      <c r="C192" s="134" t="s">
        <v>1</v>
      </c>
      <c r="D192" s="134">
        <v>1</v>
      </c>
      <c r="E192" s="134">
        <v>1</v>
      </c>
      <c r="F192" s="92">
        <v>2025.0000000000002</v>
      </c>
      <c r="G192" s="131">
        <f t="shared" ref="G192:G193" si="10">+F192*E192</f>
        <v>2025.0000000000002</v>
      </c>
    </row>
    <row r="193" spans="1:7" ht="31.5">
      <c r="A193" s="122"/>
      <c r="B193" s="146" t="s">
        <v>598</v>
      </c>
      <c r="C193" s="134" t="s">
        <v>1</v>
      </c>
      <c r="D193" s="134">
        <v>1</v>
      </c>
      <c r="E193" s="134">
        <v>1</v>
      </c>
      <c r="F193" s="92">
        <v>2025.0000000000002</v>
      </c>
      <c r="G193" s="131">
        <f t="shared" si="10"/>
        <v>2025.0000000000002</v>
      </c>
    </row>
    <row r="194" spans="1:7" ht="47.25">
      <c r="A194" s="122"/>
      <c r="B194" s="146" t="s">
        <v>599</v>
      </c>
      <c r="C194" s="134"/>
      <c r="D194" s="134"/>
      <c r="E194" s="129"/>
      <c r="F194" s="92"/>
      <c r="G194" s="131"/>
    </row>
    <row r="195" spans="1:7">
      <c r="A195" s="122"/>
      <c r="B195" s="147"/>
      <c r="C195" s="129"/>
      <c r="D195" s="129"/>
      <c r="E195" s="129"/>
      <c r="F195" s="92"/>
      <c r="G195" s="131"/>
    </row>
    <row r="196" spans="1:7">
      <c r="A196" s="132" t="s">
        <v>600</v>
      </c>
      <c r="B196" s="128" t="s">
        <v>601</v>
      </c>
      <c r="C196" s="129"/>
      <c r="D196" s="129"/>
      <c r="E196" s="129"/>
      <c r="F196" s="92"/>
      <c r="G196" s="131"/>
    </row>
    <row r="197" spans="1:7" ht="31.5">
      <c r="A197" s="132" t="s">
        <v>602</v>
      </c>
      <c r="B197" s="145" t="s">
        <v>603</v>
      </c>
      <c r="C197" s="138" t="s">
        <v>1</v>
      </c>
      <c r="D197" s="148">
        <v>2</v>
      </c>
      <c r="E197" s="148">
        <v>2</v>
      </c>
      <c r="F197" s="92">
        <v>1620</v>
      </c>
      <c r="G197" s="131">
        <f t="shared" ref="G197" si="11">+F197*E197</f>
        <v>3240</v>
      </c>
    </row>
    <row r="198" spans="1:7">
      <c r="A198" s="149"/>
      <c r="B198" s="145"/>
      <c r="C198" s="138"/>
      <c r="D198" s="148"/>
      <c r="E198" s="129"/>
      <c r="F198" s="92"/>
      <c r="G198" s="131"/>
    </row>
    <row r="199" spans="1:7" ht="31.5">
      <c r="A199" s="132" t="s">
        <v>604</v>
      </c>
      <c r="B199" s="145" t="s">
        <v>605</v>
      </c>
      <c r="C199" s="138"/>
      <c r="D199" s="148"/>
      <c r="E199" s="129"/>
      <c r="F199" s="92"/>
      <c r="G199" s="131"/>
    </row>
    <row r="200" spans="1:7" ht="31.5">
      <c r="A200" s="149"/>
      <c r="B200" s="146" t="s">
        <v>606</v>
      </c>
      <c r="C200" s="138" t="s">
        <v>12</v>
      </c>
      <c r="D200" s="148">
        <v>21</v>
      </c>
      <c r="E200" s="148">
        <v>21</v>
      </c>
      <c r="F200" s="92">
        <v>432</v>
      </c>
      <c r="G200" s="131">
        <f t="shared" ref="G200" si="12">+F200*E200</f>
        <v>9072</v>
      </c>
    </row>
    <row r="201" spans="1:7">
      <c r="A201" s="149"/>
      <c r="B201" s="145"/>
      <c r="C201" s="138"/>
      <c r="D201" s="148"/>
      <c r="E201" s="129"/>
      <c r="F201" s="92"/>
      <c r="G201" s="131"/>
    </row>
    <row r="202" spans="1:7" ht="31.5">
      <c r="A202" s="132" t="s">
        <v>607</v>
      </c>
      <c r="B202" s="145" t="s">
        <v>608</v>
      </c>
      <c r="C202" s="138"/>
      <c r="D202" s="148"/>
      <c r="E202" s="129"/>
      <c r="F202" s="92"/>
      <c r="G202" s="131"/>
    </row>
    <row r="203" spans="1:7" ht="31.5">
      <c r="A203" s="149"/>
      <c r="B203" s="146" t="s">
        <v>609</v>
      </c>
      <c r="C203" s="138" t="s">
        <v>12</v>
      </c>
      <c r="D203" s="148">
        <v>9</v>
      </c>
      <c r="E203" s="148">
        <v>9</v>
      </c>
      <c r="F203" s="92">
        <v>513</v>
      </c>
      <c r="G203" s="131">
        <f t="shared" ref="G203" si="13">+F203*E203</f>
        <v>4617</v>
      </c>
    </row>
    <row r="204" spans="1:7">
      <c r="A204" s="122"/>
      <c r="B204" s="150"/>
      <c r="C204" s="129"/>
      <c r="D204" s="129"/>
      <c r="E204" s="129"/>
      <c r="F204" s="92"/>
      <c r="G204" s="131"/>
    </row>
    <row r="205" spans="1:7" ht="31.5">
      <c r="A205" s="132" t="s">
        <v>610</v>
      </c>
      <c r="B205" s="128" t="s">
        <v>611</v>
      </c>
      <c r="C205" s="129"/>
      <c r="D205" s="129"/>
      <c r="E205" s="129"/>
      <c r="F205" s="92"/>
      <c r="G205" s="131"/>
    </row>
    <row r="206" spans="1:7">
      <c r="A206" s="122"/>
      <c r="B206" s="142"/>
      <c r="C206" s="129"/>
      <c r="D206" s="129"/>
      <c r="E206" s="129"/>
      <c r="F206" s="92"/>
      <c r="G206" s="131"/>
    </row>
    <row r="207" spans="1:7" ht="31.5">
      <c r="A207" s="132" t="s">
        <v>612</v>
      </c>
      <c r="B207" s="123" t="s">
        <v>613</v>
      </c>
      <c r="C207" s="129"/>
      <c r="D207" s="129"/>
      <c r="E207" s="129"/>
      <c r="F207" s="92"/>
      <c r="G207" s="131"/>
    </row>
    <row r="208" spans="1:7" ht="31.5">
      <c r="A208" s="122"/>
      <c r="B208" s="146" t="s">
        <v>614</v>
      </c>
      <c r="C208" s="129"/>
      <c r="D208" s="129"/>
      <c r="E208" s="129"/>
      <c r="F208" s="92"/>
      <c r="G208" s="131"/>
    </row>
    <row r="209" spans="1:7">
      <c r="A209" s="122"/>
      <c r="B209" s="147" t="s">
        <v>615</v>
      </c>
      <c r="C209" s="129" t="s">
        <v>12</v>
      </c>
      <c r="D209" s="129">
        <v>3</v>
      </c>
      <c r="E209" s="129">
        <v>3</v>
      </c>
      <c r="F209" s="92">
        <v>2430</v>
      </c>
      <c r="G209" s="131">
        <f t="shared" ref="G209:G210" si="14">+F209*E209</f>
        <v>7290</v>
      </c>
    </row>
    <row r="210" spans="1:7">
      <c r="A210" s="122"/>
      <c r="B210" s="147" t="s">
        <v>616</v>
      </c>
      <c r="C210" s="129" t="s">
        <v>12</v>
      </c>
      <c r="D210" s="151">
        <v>4</v>
      </c>
      <c r="E210" s="151">
        <v>4</v>
      </c>
      <c r="F210" s="92">
        <v>2970</v>
      </c>
      <c r="G210" s="131">
        <f t="shared" si="14"/>
        <v>11880</v>
      </c>
    </row>
    <row r="211" spans="1:7">
      <c r="A211" s="122"/>
      <c r="B211" s="123"/>
      <c r="C211" s="129"/>
      <c r="D211" s="129"/>
      <c r="E211" s="129"/>
      <c r="F211" s="92"/>
      <c r="G211" s="131"/>
    </row>
    <row r="212" spans="1:7" ht="31.5">
      <c r="A212" s="132" t="s">
        <v>617</v>
      </c>
      <c r="B212" s="123" t="s">
        <v>618</v>
      </c>
      <c r="C212" s="129"/>
      <c r="D212" s="129"/>
      <c r="E212" s="129"/>
      <c r="F212" s="92"/>
      <c r="G212" s="131"/>
    </row>
    <row r="213" spans="1:7" ht="31.5">
      <c r="A213" s="122"/>
      <c r="B213" s="146" t="s">
        <v>619</v>
      </c>
      <c r="C213" s="129"/>
      <c r="D213" s="129"/>
      <c r="E213" s="129"/>
      <c r="F213" s="92"/>
      <c r="G213" s="131"/>
    </row>
    <row r="214" spans="1:7">
      <c r="A214" s="122"/>
      <c r="B214" s="147" t="s">
        <v>615</v>
      </c>
      <c r="C214" s="129" t="s">
        <v>12</v>
      </c>
      <c r="D214" s="129">
        <v>3</v>
      </c>
      <c r="E214" s="129">
        <v>3</v>
      </c>
      <c r="F214" s="92">
        <v>2430</v>
      </c>
      <c r="G214" s="131">
        <f t="shared" ref="G214:G215" si="15">+F214*E214</f>
        <v>7290</v>
      </c>
    </row>
    <row r="215" spans="1:7">
      <c r="A215" s="122"/>
      <c r="B215" s="147" t="s">
        <v>616</v>
      </c>
      <c r="C215" s="129" t="s">
        <v>12</v>
      </c>
      <c r="D215" s="151">
        <v>4</v>
      </c>
      <c r="E215" s="151">
        <v>4</v>
      </c>
      <c r="F215" s="92">
        <v>2970</v>
      </c>
      <c r="G215" s="131">
        <f t="shared" si="15"/>
        <v>11880</v>
      </c>
    </row>
    <row r="216" spans="1:7" ht="16.5" thickBot="1">
      <c r="A216" s="122"/>
      <c r="B216" s="142"/>
      <c r="C216" s="129"/>
      <c r="D216" s="129"/>
      <c r="E216" s="129"/>
      <c r="F216" s="92"/>
      <c r="G216" s="131"/>
    </row>
    <row r="217" spans="1:7" ht="32.25" thickBot="1">
      <c r="A217" s="132" t="s">
        <v>620</v>
      </c>
      <c r="B217" s="123" t="s">
        <v>621</v>
      </c>
      <c r="C217" s="196" t="s">
        <v>622</v>
      </c>
      <c r="D217" s="197"/>
      <c r="E217" s="197"/>
      <c r="F217" s="92"/>
      <c r="G217" s="131"/>
    </row>
    <row r="218" spans="1:7" ht="31.5">
      <c r="A218" s="152" t="s">
        <v>623</v>
      </c>
      <c r="B218" s="123" t="s">
        <v>624</v>
      </c>
      <c r="C218" s="129" t="s">
        <v>4</v>
      </c>
      <c r="D218" s="129"/>
      <c r="E218" s="129"/>
      <c r="F218" s="92"/>
      <c r="G218" s="131"/>
    </row>
    <row r="219" spans="1:7">
      <c r="A219" s="122"/>
      <c r="B219" s="153"/>
      <c r="C219" s="129"/>
      <c r="D219" s="129"/>
      <c r="E219" s="129"/>
      <c r="F219" s="92"/>
      <c r="G219" s="131"/>
    </row>
    <row r="220" spans="1:7" ht="31.5">
      <c r="A220" s="132" t="s">
        <v>625</v>
      </c>
      <c r="B220" s="123" t="s">
        <v>626</v>
      </c>
      <c r="C220" s="129"/>
      <c r="D220" s="129"/>
      <c r="E220" s="129"/>
      <c r="F220" s="92"/>
      <c r="G220" s="131"/>
    </row>
    <row r="221" spans="1:7">
      <c r="A221" s="122"/>
      <c r="B221" s="154" t="s">
        <v>627</v>
      </c>
      <c r="C221" s="129"/>
      <c r="D221" s="129"/>
      <c r="E221" s="129"/>
      <c r="F221" s="92"/>
      <c r="G221" s="131"/>
    </row>
    <row r="222" spans="1:7" ht="31.5">
      <c r="A222" s="122"/>
      <c r="B222" s="147" t="s">
        <v>628</v>
      </c>
      <c r="C222" s="129" t="s">
        <v>1</v>
      </c>
      <c r="D222" s="129">
        <v>3</v>
      </c>
      <c r="E222" s="129">
        <v>3</v>
      </c>
      <c r="F222" s="92">
        <v>2970</v>
      </c>
      <c r="G222" s="131">
        <f t="shared" ref="G222:G223" si="16">+F222*E222</f>
        <v>8910</v>
      </c>
    </row>
    <row r="223" spans="1:7" ht="31.5">
      <c r="A223" s="122"/>
      <c r="B223" s="147" t="s">
        <v>629</v>
      </c>
      <c r="C223" s="129" t="s">
        <v>1</v>
      </c>
      <c r="D223" s="151">
        <v>4</v>
      </c>
      <c r="E223" s="151">
        <v>4</v>
      </c>
      <c r="F223" s="92">
        <v>3780.0000000000005</v>
      </c>
      <c r="G223" s="131">
        <f t="shared" si="16"/>
        <v>15120.000000000002</v>
      </c>
    </row>
    <row r="224" spans="1:7">
      <c r="A224" s="122"/>
      <c r="B224" s="147"/>
      <c r="C224" s="129"/>
      <c r="D224" s="151"/>
      <c r="E224" s="129"/>
      <c r="F224" s="92"/>
      <c r="G224" s="131"/>
    </row>
    <row r="225" spans="1:7" ht="31.5">
      <c r="A225" s="132" t="s">
        <v>630</v>
      </c>
      <c r="B225" s="123" t="s">
        <v>631</v>
      </c>
      <c r="C225" s="129"/>
      <c r="D225" s="151"/>
      <c r="E225" s="129"/>
      <c r="F225" s="92"/>
      <c r="G225" s="131"/>
    </row>
    <row r="226" spans="1:7" ht="47.25">
      <c r="A226" s="122"/>
      <c r="B226" s="147" t="s">
        <v>632</v>
      </c>
      <c r="C226" s="129" t="s">
        <v>12</v>
      </c>
      <c r="D226" s="129">
        <v>18</v>
      </c>
      <c r="E226" s="129">
        <v>18</v>
      </c>
      <c r="F226" s="92">
        <v>648</v>
      </c>
      <c r="G226" s="131">
        <f t="shared" ref="G226" si="17">+F226*E226</f>
        <v>11664</v>
      </c>
    </row>
    <row r="227" spans="1:7">
      <c r="A227" s="122"/>
      <c r="B227" s="123"/>
      <c r="C227" s="129"/>
      <c r="D227" s="129"/>
      <c r="E227" s="129"/>
      <c r="F227" s="92"/>
      <c r="G227" s="131"/>
    </row>
    <row r="228" spans="1:7" ht="31.5">
      <c r="A228" s="155" t="s">
        <v>633</v>
      </c>
      <c r="B228" s="128" t="s">
        <v>634</v>
      </c>
      <c r="C228" s="129"/>
      <c r="D228" s="129"/>
      <c r="E228" s="129"/>
      <c r="F228" s="92"/>
      <c r="G228" s="131"/>
    </row>
    <row r="229" spans="1:7" ht="31.5">
      <c r="A229" s="155" t="s">
        <v>635</v>
      </c>
      <c r="B229" s="123" t="s">
        <v>636</v>
      </c>
      <c r="C229" s="129" t="s">
        <v>4</v>
      </c>
      <c r="D229" s="129" t="s">
        <v>4</v>
      </c>
      <c r="E229" s="129"/>
      <c r="F229" s="92"/>
      <c r="G229" s="131"/>
    </row>
    <row r="230" spans="1:7" ht="31.5">
      <c r="A230" s="122" t="s">
        <v>637</v>
      </c>
      <c r="B230" s="123" t="s">
        <v>638</v>
      </c>
      <c r="C230" s="129"/>
      <c r="D230" s="129"/>
      <c r="E230" s="129"/>
      <c r="F230" s="92"/>
      <c r="G230" s="131"/>
    </row>
    <row r="231" spans="1:7">
      <c r="A231" s="122"/>
      <c r="B231" s="142" t="s">
        <v>639</v>
      </c>
      <c r="C231" s="129"/>
      <c r="D231" s="129"/>
      <c r="E231" s="129"/>
      <c r="F231" s="92"/>
      <c r="G231" s="131"/>
    </row>
    <row r="232" spans="1:7">
      <c r="A232" s="122"/>
      <c r="B232" s="147" t="s">
        <v>640</v>
      </c>
      <c r="C232" s="129" t="s">
        <v>12</v>
      </c>
      <c r="D232" s="129">
        <v>8</v>
      </c>
      <c r="E232" s="129">
        <v>8</v>
      </c>
      <c r="F232" s="92">
        <v>114.75000000000001</v>
      </c>
      <c r="G232" s="131">
        <f t="shared" ref="G232:G233" si="18">+F232*E232</f>
        <v>918.00000000000011</v>
      </c>
    </row>
    <row r="233" spans="1:7">
      <c r="A233" s="122"/>
      <c r="B233" s="147" t="s">
        <v>641</v>
      </c>
      <c r="C233" s="129" t="s">
        <v>12</v>
      </c>
      <c r="D233" s="129">
        <v>5</v>
      </c>
      <c r="E233" s="129">
        <v>5</v>
      </c>
      <c r="F233" s="92">
        <v>60.750000000000007</v>
      </c>
      <c r="G233" s="131">
        <f t="shared" si="18"/>
        <v>303.75000000000006</v>
      </c>
    </row>
    <row r="234" spans="1:7">
      <c r="A234" s="122"/>
      <c r="B234" s="123"/>
      <c r="C234" s="129"/>
      <c r="D234" s="129"/>
      <c r="E234" s="129"/>
      <c r="F234" s="92"/>
      <c r="G234" s="131"/>
    </row>
    <row r="235" spans="1:7">
      <c r="A235" s="122"/>
      <c r="B235" s="142" t="s">
        <v>642</v>
      </c>
      <c r="C235" s="129"/>
      <c r="D235" s="129"/>
      <c r="E235" s="129"/>
      <c r="F235" s="92"/>
      <c r="G235" s="131"/>
    </row>
    <row r="236" spans="1:7">
      <c r="A236" s="122"/>
      <c r="B236" s="147" t="s">
        <v>643</v>
      </c>
      <c r="C236" s="129" t="s">
        <v>12</v>
      </c>
      <c r="D236" s="129">
        <v>22</v>
      </c>
      <c r="E236" s="129">
        <v>22</v>
      </c>
      <c r="F236" s="92">
        <v>101.25</v>
      </c>
      <c r="G236" s="131">
        <f t="shared" ref="G236:G239" si="19">+F236*E236</f>
        <v>2227.5</v>
      </c>
    </row>
    <row r="237" spans="1:7">
      <c r="A237" s="122"/>
      <c r="B237" s="147" t="s">
        <v>641</v>
      </c>
      <c r="C237" s="129" t="s">
        <v>12</v>
      </c>
      <c r="D237" s="129">
        <v>15</v>
      </c>
      <c r="E237" s="129">
        <v>15</v>
      </c>
      <c r="F237" s="92">
        <v>60.750000000000007</v>
      </c>
      <c r="G237" s="131">
        <f t="shared" si="19"/>
        <v>911.25000000000011</v>
      </c>
    </row>
    <row r="238" spans="1:7">
      <c r="A238" s="122"/>
      <c r="B238" s="156"/>
      <c r="C238" s="129"/>
      <c r="D238" s="129"/>
      <c r="E238" s="129"/>
      <c r="F238" s="92"/>
      <c r="G238" s="131"/>
    </row>
    <row r="239" spans="1:7">
      <c r="A239" s="122"/>
      <c r="B239" s="142" t="s">
        <v>644</v>
      </c>
      <c r="C239" s="129" t="s">
        <v>12</v>
      </c>
      <c r="D239" s="129">
        <v>8</v>
      </c>
      <c r="E239" s="129">
        <v>8</v>
      </c>
      <c r="F239" s="92">
        <v>51.300000000000004</v>
      </c>
      <c r="G239" s="131">
        <f t="shared" si="19"/>
        <v>410.40000000000003</v>
      </c>
    </row>
    <row r="240" spans="1:7">
      <c r="A240" s="122"/>
      <c r="B240" s="144"/>
      <c r="C240" s="129"/>
      <c r="D240" s="129"/>
      <c r="E240" s="129"/>
      <c r="F240" s="92"/>
      <c r="G240" s="131"/>
    </row>
    <row r="241" spans="1:7" ht="31.5">
      <c r="A241" s="122"/>
      <c r="B241" s="142" t="s">
        <v>645</v>
      </c>
      <c r="C241" s="129"/>
      <c r="D241" s="129"/>
      <c r="E241" s="129"/>
      <c r="F241" s="92"/>
      <c r="G241" s="131"/>
    </row>
    <row r="242" spans="1:7">
      <c r="A242" s="122"/>
      <c r="B242" s="147" t="s">
        <v>646</v>
      </c>
      <c r="C242" s="129" t="s">
        <v>12</v>
      </c>
      <c r="D242" s="129">
        <v>10</v>
      </c>
      <c r="E242" s="129">
        <v>10</v>
      </c>
      <c r="F242" s="92">
        <v>87.75</v>
      </c>
      <c r="G242" s="131">
        <f t="shared" ref="G242:G246" si="20">+F242*E242</f>
        <v>877.5</v>
      </c>
    </row>
    <row r="243" spans="1:7">
      <c r="A243" s="122"/>
      <c r="B243" s="147" t="s">
        <v>647</v>
      </c>
      <c r="C243" s="129" t="s">
        <v>12</v>
      </c>
      <c r="D243" s="129">
        <v>7</v>
      </c>
      <c r="E243" s="129">
        <v>7</v>
      </c>
      <c r="F243" s="92">
        <v>114.75000000000001</v>
      </c>
      <c r="G243" s="131">
        <f t="shared" si="20"/>
        <v>803.25000000000011</v>
      </c>
    </row>
    <row r="244" spans="1:7" ht="31.5">
      <c r="A244" s="122"/>
      <c r="B244" s="147" t="s">
        <v>648</v>
      </c>
      <c r="C244" s="129" t="s">
        <v>12</v>
      </c>
      <c r="D244" s="129">
        <v>1</v>
      </c>
      <c r="E244" s="129">
        <v>1</v>
      </c>
      <c r="F244" s="92">
        <v>128.25</v>
      </c>
      <c r="G244" s="131">
        <f t="shared" si="20"/>
        <v>128.25</v>
      </c>
    </row>
    <row r="245" spans="1:7">
      <c r="A245" s="122"/>
      <c r="B245" s="147" t="s">
        <v>649</v>
      </c>
      <c r="C245" s="129" t="s">
        <v>12</v>
      </c>
      <c r="D245" s="129">
        <v>9</v>
      </c>
      <c r="E245" s="129">
        <v>9</v>
      </c>
      <c r="F245" s="92">
        <v>60.750000000000007</v>
      </c>
      <c r="G245" s="131">
        <f t="shared" si="20"/>
        <v>546.75000000000011</v>
      </c>
    </row>
    <row r="246" spans="1:7">
      <c r="A246" s="122"/>
      <c r="B246" s="147" t="s">
        <v>650</v>
      </c>
      <c r="C246" s="129" t="s">
        <v>12</v>
      </c>
      <c r="D246" s="129">
        <v>3</v>
      </c>
      <c r="E246" s="129">
        <v>3</v>
      </c>
      <c r="F246" s="92">
        <v>37.800000000000004</v>
      </c>
      <c r="G246" s="131">
        <f t="shared" si="20"/>
        <v>113.4</v>
      </c>
    </row>
    <row r="247" spans="1:7">
      <c r="A247" s="122"/>
      <c r="B247" s="147"/>
      <c r="C247" s="129"/>
      <c r="D247" s="129"/>
      <c r="E247" s="129"/>
      <c r="F247" s="92"/>
      <c r="G247" s="131"/>
    </row>
    <row r="248" spans="1:7" ht="31.5">
      <c r="A248" s="122" t="s">
        <v>651</v>
      </c>
      <c r="B248" s="123" t="s">
        <v>652</v>
      </c>
      <c r="C248" s="129"/>
      <c r="D248" s="129"/>
      <c r="E248" s="129"/>
      <c r="F248" s="92"/>
      <c r="G248" s="131"/>
    </row>
    <row r="249" spans="1:7">
      <c r="A249" s="122"/>
      <c r="B249" s="147" t="s">
        <v>653</v>
      </c>
      <c r="C249" s="129" t="s">
        <v>12</v>
      </c>
      <c r="D249" s="129">
        <v>4</v>
      </c>
      <c r="E249" s="129">
        <v>4</v>
      </c>
      <c r="F249" s="92">
        <v>114.75000000000001</v>
      </c>
      <c r="G249" s="131">
        <f t="shared" ref="G249:G256" si="21">+F249*E249</f>
        <v>459.00000000000006</v>
      </c>
    </row>
    <row r="250" spans="1:7">
      <c r="A250" s="122"/>
      <c r="B250" s="147" t="s">
        <v>654</v>
      </c>
      <c r="C250" s="129" t="s">
        <v>12</v>
      </c>
      <c r="D250" s="129">
        <v>2</v>
      </c>
      <c r="E250" s="129">
        <v>2</v>
      </c>
      <c r="F250" s="92">
        <v>87.75</v>
      </c>
      <c r="G250" s="131">
        <f t="shared" si="21"/>
        <v>175.5</v>
      </c>
    </row>
    <row r="251" spans="1:7">
      <c r="A251" s="122"/>
      <c r="B251" s="147" t="s">
        <v>655</v>
      </c>
      <c r="C251" s="129" t="s">
        <v>12</v>
      </c>
      <c r="D251" s="129">
        <v>2</v>
      </c>
      <c r="E251" s="129">
        <v>2</v>
      </c>
      <c r="F251" s="92">
        <v>87.75</v>
      </c>
      <c r="G251" s="131">
        <f t="shared" si="21"/>
        <v>175.5</v>
      </c>
    </row>
    <row r="252" spans="1:7">
      <c r="A252" s="122"/>
      <c r="B252" s="147" t="s">
        <v>656</v>
      </c>
      <c r="C252" s="129" t="s">
        <v>12</v>
      </c>
      <c r="D252" s="129">
        <v>1</v>
      </c>
      <c r="E252" s="129">
        <v>1</v>
      </c>
      <c r="F252" s="92">
        <v>74.25</v>
      </c>
      <c r="G252" s="131">
        <f t="shared" si="21"/>
        <v>74.25</v>
      </c>
    </row>
    <row r="253" spans="1:7">
      <c r="A253" s="122"/>
      <c r="B253" s="147" t="s">
        <v>657</v>
      </c>
      <c r="C253" s="129" t="s">
        <v>12</v>
      </c>
      <c r="D253" s="129">
        <v>2</v>
      </c>
      <c r="E253" s="129">
        <v>2</v>
      </c>
      <c r="F253" s="92">
        <v>74.25</v>
      </c>
      <c r="G253" s="131">
        <f t="shared" si="21"/>
        <v>148.5</v>
      </c>
    </row>
    <row r="254" spans="1:7">
      <c r="A254" s="122"/>
      <c r="B254" s="147" t="s">
        <v>658</v>
      </c>
      <c r="C254" s="129" t="s">
        <v>12</v>
      </c>
      <c r="D254" s="129">
        <v>1</v>
      </c>
      <c r="E254" s="129">
        <v>1</v>
      </c>
      <c r="F254" s="92">
        <v>74.25</v>
      </c>
      <c r="G254" s="131">
        <f t="shared" si="21"/>
        <v>74.25</v>
      </c>
    </row>
    <row r="255" spans="1:7">
      <c r="A255" s="122"/>
      <c r="B255" s="147" t="s">
        <v>659</v>
      </c>
      <c r="C255" s="129" t="s">
        <v>12</v>
      </c>
      <c r="D255" s="129">
        <v>2</v>
      </c>
      <c r="E255" s="129">
        <v>2</v>
      </c>
      <c r="F255" s="92">
        <v>101.25</v>
      </c>
      <c r="G255" s="131">
        <f t="shared" si="21"/>
        <v>202.5</v>
      </c>
    </row>
    <row r="256" spans="1:7" ht="31.5">
      <c r="A256" s="122"/>
      <c r="B256" s="147" t="s">
        <v>660</v>
      </c>
      <c r="C256" s="129" t="s">
        <v>12</v>
      </c>
      <c r="D256" s="129">
        <v>2</v>
      </c>
      <c r="E256" s="129">
        <v>2</v>
      </c>
      <c r="F256" s="92">
        <v>74.25</v>
      </c>
      <c r="G256" s="131">
        <f t="shared" si="21"/>
        <v>148.5</v>
      </c>
    </row>
    <row r="257" spans="1:7">
      <c r="A257" s="122"/>
      <c r="B257" s="147"/>
      <c r="C257" s="129"/>
      <c r="D257" s="129"/>
      <c r="E257" s="129"/>
      <c r="F257" s="92"/>
      <c r="G257" s="131"/>
    </row>
    <row r="258" spans="1:7">
      <c r="A258" s="122"/>
      <c r="B258" s="142" t="s">
        <v>661</v>
      </c>
      <c r="C258" s="129"/>
      <c r="D258" s="129"/>
      <c r="E258" s="129"/>
      <c r="F258" s="92"/>
      <c r="G258" s="131"/>
    </row>
    <row r="259" spans="1:7">
      <c r="A259" s="122"/>
      <c r="B259" s="147" t="s">
        <v>646</v>
      </c>
      <c r="C259" s="129" t="s">
        <v>12</v>
      </c>
      <c r="D259" s="129">
        <v>7</v>
      </c>
      <c r="E259" s="129">
        <v>7</v>
      </c>
      <c r="F259" s="92">
        <v>87.75</v>
      </c>
      <c r="G259" s="131">
        <f t="shared" ref="G259:G260" si="22">+F259*E259</f>
        <v>614.25</v>
      </c>
    </row>
    <row r="260" spans="1:7">
      <c r="A260" s="122"/>
      <c r="B260" s="147" t="s">
        <v>662</v>
      </c>
      <c r="C260" s="129" t="s">
        <v>12</v>
      </c>
      <c r="D260" s="129">
        <v>7</v>
      </c>
      <c r="E260" s="129">
        <v>7</v>
      </c>
      <c r="F260" s="92">
        <v>51.300000000000004</v>
      </c>
      <c r="G260" s="131">
        <f t="shared" si="22"/>
        <v>359.1</v>
      </c>
    </row>
    <row r="261" spans="1:7">
      <c r="A261" s="122"/>
      <c r="B261" s="144"/>
      <c r="C261" s="129"/>
      <c r="D261" s="129"/>
      <c r="E261" s="129"/>
      <c r="F261" s="92"/>
      <c r="G261" s="131"/>
    </row>
    <row r="262" spans="1:7" ht="31.5">
      <c r="A262" s="122" t="s">
        <v>663</v>
      </c>
      <c r="B262" s="123" t="s">
        <v>664</v>
      </c>
      <c r="C262" s="129"/>
      <c r="D262" s="129"/>
      <c r="E262" s="129"/>
      <c r="F262" s="92"/>
      <c r="G262" s="131"/>
    </row>
    <row r="263" spans="1:7">
      <c r="A263" s="132"/>
      <c r="B263" s="146" t="s">
        <v>665</v>
      </c>
      <c r="C263" s="134" t="s">
        <v>12</v>
      </c>
      <c r="D263" s="134">
        <v>2</v>
      </c>
      <c r="E263" s="134">
        <v>2</v>
      </c>
      <c r="F263" s="92">
        <v>128.25</v>
      </c>
      <c r="G263" s="131">
        <f t="shared" ref="G263:G264" si="23">+F263*E263</f>
        <v>256.5</v>
      </c>
    </row>
    <row r="264" spans="1:7">
      <c r="A264" s="132"/>
      <c r="B264" s="146" t="s">
        <v>666</v>
      </c>
      <c r="C264" s="134" t="s">
        <v>12</v>
      </c>
      <c r="D264" s="134">
        <v>6</v>
      </c>
      <c r="E264" s="134">
        <v>6</v>
      </c>
      <c r="F264" s="92">
        <v>101.25</v>
      </c>
      <c r="G264" s="131">
        <f t="shared" si="23"/>
        <v>607.5</v>
      </c>
    </row>
    <row r="265" spans="1:7">
      <c r="A265" s="122"/>
      <c r="B265" s="123"/>
      <c r="C265" s="129"/>
      <c r="D265" s="129"/>
      <c r="E265" s="129"/>
      <c r="F265" s="92"/>
      <c r="G265" s="131"/>
    </row>
    <row r="266" spans="1:7">
      <c r="A266" s="122" t="s">
        <v>667</v>
      </c>
      <c r="B266" s="128" t="s">
        <v>668</v>
      </c>
      <c r="C266" s="129" t="s">
        <v>13</v>
      </c>
      <c r="D266" s="129" t="s">
        <v>13</v>
      </c>
      <c r="E266" s="129"/>
      <c r="F266" s="92"/>
      <c r="G266" s="131"/>
    </row>
    <row r="267" spans="1:7">
      <c r="A267" s="122"/>
      <c r="B267" s="123"/>
      <c r="C267" s="129"/>
      <c r="D267" s="129"/>
      <c r="E267" s="129"/>
      <c r="F267" s="92"/>
      <c r="G267" s="131"/>
    </row>
    <row r="268" spans="1:7">
      <c r="A268" s="122" t="s">
        <v>669</v>
      </c>
      <c r="B268" s="137" t="s">
        <v>670</v>
      </c>
      <c r="C268" s="129"/>
      <c r="D268" s="138"/>
      <c r="E268" s="138"/>
      <c r="F268" s="92"/>
      <c r="G268" s="131"/>
    </row>
    <row r="269" spans="1:7">
      <c r="A269" s="122"/>
      <c r="B269" s="137"/>
      <c r="C269" s="129"/>
      <c r="D269" s="129"/>
      <c r="E269" s="129"/>
      <c r="F269" s="92"/>
      <c r="G269" s="131"/>
    </row>
    <row r="270" spans="1:7">
      <c r="A270" s="122" t="s">
        <v>671</v>
      </c>
      <c r="B270" s="128" t="s">
        <v>672</v>
      </c>
      <c r="C270" s="129"/>
      <c r="D270" s="129"/>
      <c r="E270" s="129"/>
      <c r="F270" s="92"/>
      <c r="G270" s="131"/>
    </row>
    <row r="271" spans="1:7">
      <c r="A271" s="122"/>
      <c r="B271" s="123"/>
      <c r="C271" s="129"/>
      <c r="D271" s="129"/>
      <c r="E271" s="129"/>
      <c r="F271" s="92"/>
      <c r="G271" s="131"/>
    </row>
    <row r="272" spans="1:7" ht="31.5">
      <c r="A272" s="122" t="s">
        <v>673</v>
      </c>
      <c r="B272" s="123" t="s">
        <v>674</v>
      </c>
      <c r="C272" s="129"/>
      <c r="D272" s="129"/>
      <c r="E272" s="129"/>
      <c r="F272" s="92"/>
      <c r="G272" s="131"/>
    </row>
    <row r="273" spans="1:7" ht="31.5">
      <c r="A273" s="122"/>
      <c r="B273" s="142" t="s">
        <v>675</v>
      </c>
      <c r="C273" s="129" t="s">
        <v>12</v>
      </c>
      <c r="D273" s="129">
        <v>2</v>
      </c>
      <c r="E273" s="129">
        <v>2</v>
      </c>
      <c r="F273" s="92">
        <v>1147.5</v>
      </c>
      <c r="G273" s="131">
        <f t="shared" ref="G273:G274" si="24">+F273*E273</f>
        <v>2295</v>
      </c>
    </row>
    <row r="274" spans="1:7">
      <c r="A274" s="122"/>
      <c r="B274" s="142" t="s">
        <v>676</v>
      </c>
      <c r="C274" s="129" t="s">
        <v>12</v>
      </c>
      <c r="D274" s="129">
        <v>2</v>
      </c>
      <c r="E274" s="129">
        <v>2</v>
      </c>
      <c r="F274" s="92">
        <v>128.25</v>
      </c>
      <c r="G274" s="131">
        <f t="shared" si="24"/>
        <v>256.5</v>
      </c>
    </row>
    <row r="275" spans="1:7" ht="31.5">
      <c r="A275" s="122"/>
      <c r="B275" s="142" t="s">
        <v>677</v>
      </c>
      <c r="C275" s="157"/>
      <c r="D275" s="158">
        <v>0</v>
      </c>
      <c r="E275" s="157"/>
      <c r="F275" s="92"/>
      <c r="G275" s="131"/>
    </row>
    <row r="276" spans="1:7" ht="31.5">
      <c r="A276" s="122"/>
      <c r="B276" s="142" t="s">
        <v>678</v>
      </c>
      <c r="C276" s="157"/>
      <c r="D276" s="158">
        <v>0</v>
      </c>
      <c r="E276" s="157"/>
      <c r="F276" s="92"/>
      <c r="G276" s="131"/>
    </row>
    <row r="277" spans="1:7">
      <c r="A277" s="122"/>
      <c r="B277" s="142"/>
      <c r="C277" s="157"/>
      <c r="D277" s="158">
        <v>0</v>
      </c>
      <c r="E277" s="157"/>
      <c r="F277" s="92"/>
      <c r="G277" s="131"/>
    </row>
    <row r="278" spans="1:7" ht="31.5">
      <c r="A278" s="122" t="s">
        <v>679</v>
      </c>
      <c r="B278" s="123" t="s">
        <v>680</v>
      </c>
      <c r="C278" s="157"/>
      <c r="D278" s="158"/>
      <c r="E278" s="157"/>
      <c r="F278" s="92"/>
      <c r="G278" s="131"/>
    </row>
    <row r="279" spans="1:7" ht="31.5">
      <c r="A279" s="122"/>
      <c r="B279" s="142" t="s">
        <v>681</v>
      </c>
      <c r="C279" s="129" t="s">
        <v>1</v>
      </c>
      <c r="D279" s="129">
        <v>2</v>
      </c>
      <c r="E279" s="129">
        <v>2</v>
      </c>
      <c r="F279" s="92">
        <v>3780.0000000000005</v>
      </c>
      <c r="G279" s="131">
        <f t="shared" ref="G279:G281" si="25">+F279*E279</f>
        <v>7560.0000000000009</v>
      </c>
    </row>
    <row r="280" spans="1:7" ht="31.5">
      <c r="A280" s="122"/>
      <c r="B280" s="142" t="s">
        <v>682</v>
      </c>
      <c r="C280" s="129" t="s">
        <v>12</v>
      </c>
      <c r="D280" s="129">
        <v>2</v>
      </c>
      <c r="E280" s="129">
        <v>2</v>
      </c>
      <c r="F280" s="92">
        <v>513</v>
      </c>
      <c r="G280" s="131">
        <f t="shared" si="25"/>
        <v>1026</v>
      </c>
    </row>
    <row r="281" spans="1:7">
      <c r="A281" s="122"/>
      <c r="B281" s="142" t="s">
        <v>683</v>
      </c>
      <c r="C281" s="129" t="s">
        <v>12</v>
      </c>
      <c r="D281" s="129">
        <v>50</v>
      </c>
      <c r="E281" s="129">
        <v>50</v>
      </c>
      <c r="F281" s="92">
        <v>24.3</v>
      </c>
      <c r="G281" s="131">
        <f t="shared" si="25"/>
        <v>1215</v>
      </c>
    </row>
    <row r="282" spans="1:7">
      <c r="A282" s="122"/>
      <c r="B282" s="142" t="s">
        <v>684</v>
      </c>
      <c r="C282" s="129"/>
      <c r="D282" s="129"/>
      <c r="E282" s="159"/>
      <c r="F282" s="92"/>
      <c r="G282" s="131"/>
    </row>
    <row r="283" spans="1:7">
      <c r="A283" s="122"/>
      <c r="B283" s="137"/>
      <c r="C283" s="129"/>
      <c r="D283" s="129"/>
      <c r="E283" s="159"/>
      <c r="F283" s="92"/>
      <c r="G283" s="131"/>
    </row>
    <row r="284" spans="1:7">
      <c r="A284" s="122" t="s">
        <v>685</v>
      </c>
      <c r="B284" s="128" t="s">
        <v>686</v>
      </c>
      <c r="C284" s="129"/>
      <c r="D284" s="129"/>
      <c r="E284" s="129"/>
      <c r="F284" s="92"/>
      <c r="G284" s="131"/>
    </row>
    <row r="285" spans="1:7">
      <c r="A285" s="122"/>
      <c r="B285" s="154" t="s">
        <v>687</v>
      </c>
      <c r="C285" s="138" t="s">
        <v>13</v>
      </c>
      <c r="D285" s="138" t="s">
        <v>13</v>
      </c>
      <c r="E285" s="160"/>
      <c r="F285" s="92"/>
      <c r="G285" s="131"/>
    </row>
    <row r="286" spans="1:7">
      <c r="A286" s="122"/>
      <c r="B286" s="142"/>
      <c r="C286" s="129"/>
      <c r="D286" s="129"/>
      <c r="E286" s="159"/>
      <c r="F286" s="92"/>
      <c r="G286" s="131"/>
    </row>
    <row r="287" spans="1:7">
      <c r="A287" s="122" t="s">
        <v>688</v>
      </c>
      <c r="B287" s="128" t="s">
        <v>689</v>
      </c>
      <c r="C287" s="129"/>
      <c r="D287" s="129"/>
      <c r="E287" s="129"/>
      <c r="F287" s="92"/>
      <c r="G287" s="131"/>
    </row>
    <row r="288" spans="1:7">
      <c r="A288" s="122"/>
      <c r="B288" s="161"/>
      <c r="C288" s="129"/>
      <c r="D288" s="129"/>
      <c r="E288" s="129"/>
      <c r="F288" s="92"/>
      <c r="G288" s="131"/>
    </row>
    <row r="289" spans="1:7">
      <c r="A289" s="122"/>
      <c r="B289" s="123" t="s">
        <v>690</v>
      </c>
      <c r="C289" s="129"/>
      <c r="D289" s="129"/>
      <c r="E289" s="129"/>
      <c r="F289" s="92"/>
      <c r="G289" s="131"/>
    </row>
    <row r="290" spans="1:7">
      <c r="A290" s="122"/>
      <c r="B290" s="142" t="s">
        <v>691</v>
      </c>
      <c r="C290" s="129" t="s">
        <v>12</v>
      </c>
      <c r="D290" s="129">
        <v>2</v>
      </c>
      <c r="E290" s="129">
        <v>2</v>
      </c>
      <c r="F290" s="92">
        <v>513</v>
      </c>
      <c r="G290" s="131">
        <f t="shared" ref="G290" si="26">+F290*E290</f>
        <v>1026</v>
      </c>
    </row>
    <row r="291" spans="1:7">
      <c r="A291" s="122"/>
      <c r="B291" s="142"/>
      <c r="C291" s="129"/>
      <c r="D291" s="129"/>
      <c r="E291" s="129"/>
      <c r="F291" s="92"/>
      <c r="G291" s="131"/>
    </row>
    <row r="292" spans="1:7">
      <c r="A292" s="122"/>
      <c r="B292" s="123" t="s">
        <v>692</v>
      </c>
      <c r="C292" s="129"/>
      <c r="D292" s="129"/>
      <c r="E292" s="129"/>
      <c r="F292" s="92"/>
      <c r="G292" s="131"/>
    </row>
    <row r="293" spans="1:7" ht="31.5">
      <c r="A293" s="122"/>
      <c r="B293" s="142" t="s">
        <v>693</v>
      </c>
      <c r="C293" s="129"/>
      <c r="D293" s="129"/>
      <c r="E293" s="129"/>
      <c r="F293" s="92"/>
      <c r="G293" s="131"/>
    </row>
    <row r="294" spans="1:7" ht="31.5">
      <c r="A294" s="122"/>
      <c r="B294" s="142" t="s">
        <v>694</v>
      </c>
      <c r="C294" s="129" t="s">
        <v>1</v>
      </c>
      <c r="D294" s="129">
        <v>2</v>
      </c>
      <c r="E294" s="129">
        <v>2</v>
      </c>
      <c r="F294" s="92">
        <v>1147.5</v>
      </c>
      <c r="G294" s="131">
        <f t="shared" ref="G294:G298" si="27">+F294*E294</f>
        <v>2295</v>
      </c>
    </row>
    <row r="295" spans="1:7" ht="31.5">
      <c r="A295" s="122"/>
      <c r="B295" s="142" t="s">
        <v>695</v>
      </c>
      <c r="C295" s="129" t="s">
        <v>1</v>
      </c>
      <c r="D295" s="129">
        <v>2</v>
      </c>
      <c r="E295" s="129">
        <v>2</v>
      </c>
      <c r="F295" s="92">
        <v>877.50000000000011</v>
      </c>
      <c r="G295" s="131">
        <f t="shared" si="27"/>
        <v>1755.0000000000002</v>
      </c>
    </row>
    <row r="296" spans="1:7" ht="31.5">
      <c r="A296" s="122"/>
      <c r="B296" s="142" t="s">
        <v>696</v>
      </c>
      <c r="C296" s="129" t="s">
        <v>1</v>
      </c>
      <c r="D296" s="129">
        <v>2</v>
      </c>
      <c r="E296" s="129">
        <v>2</v>
      </c>
      <c r="F296" s="92">
        <v>1012.5000000000001</v>
      </c>
      <c r="G296" s="131">
        <f t="shared" si="27"/>
        <v>2025.0000000000002</v>
      </c>
    </row>
    <row r="297" spans="1:7">
      <c r="A297" s="122"/>
      <c r="B297" s="142" t="s">
        <v>697</v>
      </c>
      <c r="C297" s="129" t="s">
        <v>12</v>
      </c>
      <c r="D297" s="129">
        <v>7</v>
      </c>
      <c r="E297" s="129">
        <v>7</v>
      </c>
      <c r="F297" s="92">
        <v>243.00000000000003</v>
      </c>
      <c r="G297" s="131">
        <f t="shared" si="27"/>
        <v>1701.0000000000002</v>
      </c>
    </row>
    <row r="298" spans="1:7" ht="47.25">
      <c r="A298" s="122"/>
      <c r="B298" s="142" t="s">
        <v>698</v>
      </c>
      <c r="C298" s="129" t="s">
        <v>12</v>
      </c>
      <c r="D298" s="129">
        <v>7</v>
      </c>
      <c r="E298" s="129">
        <v>7</v>
      </c>
      <c r="F298" s="92">
        <v>128.25</v>
      </c>
      <c r="G298" s="131">
        <f t="shared" si="27"/>
        <v>897.75</v>
      </c>
    </row>
    <row r="299" spans="1:7">
      <c r="A299" s="122"/>
      <c r="B299" s="142" t="s">
        <v>699</v>
      </c>
      <c r="C299" s="129" t="s">
        <v>4</v>
      </c>
      <c r="D299" s="129" t="s">
        <v>4</v>
      </c>
      <c r="E299" s="129"/>
      <c r="F299" s="92"/>
      <c r="G299" s="131"/>
    </row>
    <row r="300" spans="1:7">
      <c r="A300" s="122"/>
      <c r="B300" s="142"/>
      <c r="C300" s="129"/>
      <c r="D300" s="129"/>
      <c r="E300" s="129"/>
      <c r="F300" s="92"/>
      <c r="G300" s="131"/>
    </row>
    <row r="301" spans="1:7">
      <c r="A301" s="122" t="s">
        <v>700</v>
      </c>
      <c r="B301" s="128" t="s">
        <v>701</v>
      </c>
      <c r="C301" s="129"/>
      <c r="D301" s="129"/>
      <c r="E301" s="129"/>
      <c r="F301" s="92"/>
      <c r="G301" s="131"/>
    </row>
    <row r="302" spans="1:7" ht="47.25">
      <c r="A302" s="122"/>
      <c r="B302" s="162" t="s">
        <v>702</v>
      </c>
      <c r="C302" s="129" t="s">
        <v>12</v>
      </c>
      <c r="D302" s="129">
        <v>7</v>
      </c>
      <c r="E302" s="129">
        <v>7</v>
      </c>
      <c r="F302" s="163">
        <v>128.25</v>
      </c>
      <c r="G302" s="131">
        <f t="shared" ref="G302" si="28">+F302*E302</f>
        <v>897.75</v>
      </c>
    </row>
    <row r="303" spans="1:7">
      <c r="A303" s="122"/>
      <c r="B303" s="123"/>
      <c r="C303" s="129"/>
      <c r="D303" s="129"/>
      <c r="E303" s="129"/>
      <c r="F303" s="92"/>
      <c r="G303" s="131"/>
    </row>
    <row r="304" spans="1:7">
      <c r="A304" s="122" t="s">
        <v>703</v>
      </c>
      <c r="B304" s="123" t="s">
        <v>704</v>
      </c>
      <c r="C304" s="129"/>
      <c r="D304" s="129"/>
      <c r="E304" s="129"/>
      <c r="F304" s="92"/>
      <c r="G304" s="131"/>
    </row>
    <row r="305" spans="1:7" ht="31.5">
      <c r="A305" s="122" t="s">
        <v>705</v>
      </c>
      <c r="B305" s="123" t="s">
        <v>636</v>
      </c>
      <c r="C305" s="129" t="s">
        <v>4</v>
      </c>
      <c r="D305" s="129" t="s">
        <v>4</v>
      </c>
      <c r="E305" s="129"/>
      <c r="F305" s="92"/>
      <c r="G305" s="131"/>
    </row>
    <row r="306" spans="1:7" ht="31.5">
      <c r="A306" s="122" t="s">
        <v>706</v>
      </c>
      <c r="B306" s="123" t="s">
        <v>707</v>
      </c>
      <c r="C306" s="129" t="s">
        <v>4</v>
      </c>
      <c r="D306" s="129" t="s">
        <v>4</v>
      </c>
      <c r="E306" s="129"/>
      <c r="F306" s="92"/>
      <c r="G306" s="131"/>
    </row>
    <row r="307" spans="1:7">
      <c r="A307" s="122"/>
      <c r="B307" s="123" t="s">
        <v>708</v>
      </c>
      <c r="C307" s="129"/>
      <c r="D307" s="129"/>
      <c r="E307" s="129"/>
      <c r="F307" s="92"/>
      <c r="G307" s="131"/>
    </row>
    <row r="308" spans="1:7">
      <c r="A308" s="164"/>
      <c r="B308" s="142" t="s">
        <v>709</v>
      </c>
      <c r="C308" s="129" t="s">
        <v>12</v>
      </c>
      <c r="D308" s="129">
        <v>2</v>
      </c>
      <c r="E308" s="129">
        <v>2</v>
      </c>
      <c r="F308" s="92">
        <v>1620</v>
      </c>
      <c r="G308" s="131">
        <f t="shared" ref="G308:G317" si="29">+F308*E308</f>
        <v>3240</v>
      </c>
    </row>
    <row r="309" spans="1:7">
      <c r="A309" s="164"/>
      <c r="B309" s="142" t="s">
        <v>710</v>
      </c>
      <c r="C309" s="129" t="s">
        <v>12</v>
      </c>
      <c r="D309" s="129">
        <v>6</v>
      </c>
      <c r="E309" s="129">
        <v>6</v>
      </c>
      <c r="F309" s="92">
        <v>114.75000000000001</v>
      </c>
      <c r="G309" s="131">
        <f t="shared" si="29"/>
        <v>688.50000000000011</v>
      </c>
    </row>
    <row r="310" spans="1:7">
      <c r="A310" s="164"/>
      <c r="B310" s="142" t="s">
        <v>711</v>
      </c>
      <c r="C310" s="129" t="s">
        <v>12</v>
      </c>
      <c r="D310" s="129">
        <v>7</v>
      </c>
      <c r="E310" s="129">
        <v>7</v>
      </c>
      <c r="F310" s="92">
        <v>87.75</v>
      </c>
      <c r="G310" s="131">
        <f t="shared" si="29"/>
        <v>614.25</v>
      </c>
    </row>
    <row r="311" spans="1:7" ht="31.5">
      <c r="A311" s="122" t="s">
        <v>712</v>
      </c>
      <c r="B311" s="123" t="s">
        <v>713</v>
      </c>
      <c r="C311" s="129"/>
      <c r="D311" s="129"/>
      <c r="E311" s="129"/>
      <c r="F311" s="92"/>
      <c r="G311" s="131"/>
    </row>
    <row r="312" spans="1:7">
      <c r="A312" s="164"/>
      <c r="B312" s="142" t="s">
        <v>714</v>
      </c>
      <c r="C312" s="129" t="s">
        <v>12</v>
      </c>
      <c r="D312" s="129">
        <v>2</v>
      </c>
      <c r="E312" s="129">
        <v>2</v>
      </c>
      <c r="F312" s="92">
        <v>472.50000000000006</v>
      </c>
      <c r="G312" s="131">
        <f t="shared" si="29"/>
        <v>945.00000000000011</v>
      </c>
    </row>
    <row r="313" spans="1:7" ht="31.5">
      <c r="A313" s="122" t="s">
        <v>715</v>
      </c>
      <c r="B313" s="123" t="s">
        <v>716</v>
      </c>
      <c r="C313" s="129"/>
      <c r="D313" s="129"/>
      <c r="E313" s="129"/>
      <c r="F313" s="92"/>
      <c r="G313" s="131"/>
    </row>
    <row r="314" spans="1:7">
      <c r="A314" s="164"/>
      <c r="B314" s="142" t="s">
        <v>717</v>
      </c>
      <c r="C314" s="129" t="s">
        <v>12</v>
      </c>
      <c r="D314" s="129">
        <v>2</v>
      </c>
      <c r="E314" s="129">
        <v>2</v>
      </c>
      <c r="F314" s="92">
        <v>378</v>
      </c>
      <c r="G314" s="131">
        <f t="shared" si="29"/>
        <v>756</v>
      </c>
    </row>
    <row r="315" spans="1:7" ht="31.5">
      <c r="A315" s="122" t="s">
        <v>718</v>
      </c>
      <c r="B315" s="123" t="s">
        <v>719</v>
      </c>
      <c r="C315" s="129"/>
      <c r="D315" s="129"/>
      <c r="E315" s="129"/>
      <c r="F315" s="92"/>
      <c r="G315" s="131"/>
    </row>
    <row r="316" spans="1:7" ht="31.5">
      <c r="A316" s="122"/>
      <c r="B316" s="142" t="s">
        <v>720</v>
      </c>
      <c r="C316" s="129" t="s">
        <v>1</v>
      </c>
      <c r="D316" s="129">
        <v>2</v>
      </c>
      <c r="E316" s="129">
        <v>2</v>
      </c>
      <c r="F316" s="92">
        <v>607.5</v>
      </c>
      <c r="G316" s="131">
        <f t="shared" si="29"/>
        <v>1215</v>
      </c>
    </row>
    <row r="317" spans="1:7" ht="47.25">
      <c r="A317" s="122"/>
      <c r="B317" s="123" t="s">
        <v>721</v>
      </c>
      <c r="C317" s="129" t="s">
        <v>722</v>
      </c>
      <c r="D317" s="129">
        <v>2</v>
      </c>
      <c r="E317" s="129">
        <v>2</v>
      </c>
      <c r="F317" s="92">
        <v>378</v>
      </c>
      <c r="G317" s="131">
        <f t="shared" si="29"/>
        <v>756</v>
      </c>
    </row>
    <row r="318" spans="1:7" ht="16.5" thickBot="1">
      <c r="A318" s="122"/>
      <c r="B318" s="123"/>
      <c r="C318" s="129"/>
      <c r="D318" s="129"/>
      <c r="E318" s="129"/>
      <c r="F318" s="92"/>
      <c r="G318" s="131"/>
    </row>
    <row r="319" spans="1:7" ht="32.25" thickBot="1">
      <c r="A319" s="122" t="s">
        <v>723</v>
      </c>
      <c r="B319" s="165" t="s">
        <v>724</v>
      </c>
      <c r="C319" s="198" t="s">
        <v>725</v>
      </c>
      <c r="D319" s="199"/>
      <c r="E319" s="199"/>
      <c r="F319" s="166"/>
      <c r="G319" s="167"/>
    </row>
    <row r="320" spans="1:7">
      <c r="A320" s="122"/>
      <c r="B320" s="168"/>
      <c r="C320" s="169"/>
      <c r="D320" s="170"/>
      <c r="E320" s="170"/>
      <c r="F320" s="166"/>
      <c r="G320" s="167"/>
    </row>
    <row r="321" spans="1:8">
      <c r="A321" s="122" t="s">
        <v>726</v>
      </c>
      <c r="B321" s="171" t="s">
        <v>727</v>
      </c>
      <c r="C321" s="169" t="s">
        <v>12</v>
      </c>
      <c r="D321" s="169">
        <v>9</v>
      </c>
      <c r="E321" s="169">
        <v>9</v>
      </c>
      <c r="F321" s="166">
        <v>37.800000000000004</v>
      </c>
      <c r="G321" s="131">
        <f t="shared" ref="G321" si="30">+F321*E321</f>
        <v>340.20000000000005</v>
      </c>
    </row>
    <row r="322" spans="1:8" ht="16.5" thickBot="1">
      <c r="A322" s="172"/>
      <c r="B322" s="173"/>
      <c r="C322" s="174"/>
      <c r="D322" s="174"/>
      <c r="E322" s="174"/>
      <c r="F322" s="166"/>
      <c r="G322" s="175"/>
    </row>
    <row r="323" spans="1:8" ht="16.5" thickTop="1">
      <c r="A323" s="106"/>
      <c r="B323" s="107"/>
      <c r="C323" s="108"/>
      <c r="D323" s="108"/>
      <c r="E323" s="108"/>
      <c r="F323" s="166"/>
      <c r="G323" s="110"/>
      <c r="H323" s="99"/>
    </row>
    <row r="324" spans="1:8" ht="31.5">
      <c r="A324" s="132"/>
      <c r="B324" s="176" t="s">
        <v>728</v>
      </c>
      <c r="C324" s="169"/>
      <c r="D324" s="170"/>
      <c r="E324" s="170"/>
      <c r="F324" s="166"/>
      <c r="G324" s="177">
        <f>SUM(G149:G323)</f>
        <v>170325.71325</v>
      </c>
    </row>
    <row r="325" spans="1:8">
      <c r="A325" s="178">
        <v>20</v>
      </c>
      <c r="B325" s="176" t="s">
        <v>729</v>
      </c>
      <c r="C325" s="169"/>
      <c r="D325" s="170"/>
      <c r="E325" s="170"/>
      <c r="F325" s="166"/>
      <c r="G325" s="179">
        <f>+G324*A325/100</f>
        <v>34065.142650000002</v>
      </c>
    </row>
    <row r="326" spans="1:8" ht="32.25" thickBot="1">
      <c r="A326" s="180"/>
      <c r="B326" s="181" t="s">
        <v>730</v>
      </c>
      <c r="C326" s="182"/>
      <c r="D326" s="183"/>
      <c r="E326" s="183"/>
      <c r="F326" s="166"/>
      <c r="G326" s="184">
        <f>SUM(G324:G325)</f>
        <v>204390.8559</v>
      </c>
    </row>
    <row r="327" spans="1:8" ht="16.5" thickBot="1"/>
    <row r="328" spans="1:8" ht="18.75" thickBot="1">
      <c r="A328" s="187" t="s">
        <v>14</v>
      </c>
      <c r="B328" s="188"/>
      <c r="C328" s="188"/>
      <c r="D328" s="188"/>
      <c r="E328" s="188"/>
      <c r="F328" s="188"/>
      <c r="G328" s="189"/>
    </row>
    <row r="329" spans="1:8">
      <c r="A329" s="23"/>
      <c r="B329" s="22"/>
      <c r="C329" s="52"/>
      <c r="D329" s="53"/>
      <c r="E329" s="53"/>
      <c r="F329" s="71"/>
      <c r="G329" s="71"/>
    </row>
    <row r="330" spans="1:8">
      <c r="A330" s="21" t="s">
        <v>15</v>
      </c>
      <c r="B330" s="20" t="s">
        <v>2</v>
      </c>
      <c r="C330" s="7"/>
      <c r="D330" s="7"/>
      <c r="E330" s="7"/>
      <c r="F330" s="72"/>
      <c r="G330" s="72"/>
    </row>
    <row r="331" spans="1:8">
      <c r="A331" s="1" t="s">
        <v>16</v>
      </c>
      <c r="B331" s="2" t="s">
        <v>3</v>
      </c>
      <c r="C331" s="6" t="s">
        <v>4</v>
      </c>
      <c r="D331" s="55" t="s">
        <v>4</v>
      </c>
      <c r="E331" s="55"/>
      <c r="F331" s="72"/>
      <c r="G331" s="72"/>
    </row>
    <row r="332" spans="1:8">
      <c r="A332" s="1" t="s">
        <v>17</v>
      </c>
      <c r="B332" s="2" t="s">
        <v>5</v>
      </c>
      <c r="C332" s="6" t="s">
        <v>13</v>
      </c>
      <c r="D332" s="6" t="s">
        <v>13</v>
      </c>
      <c r="E332" s="6"/>
      <c r="F332" s="73"/>
      <c r="G332" s="73"/>
    </row>
    <row r="333" spans="1:8">
      <c r="A333" s="1" t="s">
        <v>18</v>
      </c>
      <c r="B333" s="2" t="s">
        <v>6</v>
      </c>
      <c r="C333" s="6" t="s">
        <v>4</v>
      </c>
      <c r="D333" s="6" t="s">
        <v>4</v>
      </c>
      <c r="E333" s="6"/>
      <c r="F333" s="73"/>
      <c r="G333" s="73"/>
    </row>
    <row r="334" spans="1:8">
      <c r="A334" s="1" t="s">
        <v>19</v>
      </c>
      <c r="B334" s="2" t="s">
        <v>7</v>
      </c>
      <c r="C334" s="6" t="s">
        <v>4</v>
      </c>
      <c r="D334" s="6" t="s">
        <v>4</v>
      </c>
      <c r="E334" s="6"/>
      <c r="F334" s="73"/>
      <c r="G334" s="73"/>
    </row>
    <row r="335" spans="1:8">
      <c r="A335" s="1" t="s">
        <v>20</v>
      </c>
      <c r="B335" s="2" t="s">
        <v>21</v>
      </c>
      <c r="C335" s="6" t="s">
        <v>4</v>
      </c>
      <c r="D335" s="6" t="s">
        <v>4</v>
      </c>
      <c r="E335" s="6"/>
      <c r="F335" s="73"/>
      <c r="G335" s="73"/>
    </row>
    <row r="336" spans="1:8">
      <c r="A336" s="1" t="s">
        <v>22</v>
      </c>
      <c r="B336" s="2" t="s">
        <v>8</v>
      </c>
      <c r="C336" s="6" t="s">
        <v>1</v>
      </c>
      <c r="D336" s="56">
        <v>1</v>
      </c>
      <c r="E336" s="56">
        <v>1</v>
      </c>
      <c r="F336" s="74">
        <v>2485.3027500000003</v>
      </c>
      <c r="G336" s="74">
        <f>+F336*E336</f>
        <v>2485.3027500000003</v>
      </c>
    </row>
    <row r="337" spans="1:7">
      <c r="A337" s="1" t="s">
        <v>23</v>
      </c>
      <c r="B337" s="2" t="s">
        <v>9</v>
      </c>
      <c r="C337" s="6" t="s">
        <v>1</v>
      </c>
      <c r="D337" s="56">
        <v>1</v>
      </c>
      <c r="E337" s="56">
        <v>1</v>
      </c>
      <c r="F337" s="74">
        <v>8698.5596250000017</v>
      </c>
      <c r="G337" s="74">
        <f>+F337*E337</f>
        <v>8698.5596250000017</v>
      </c>
    </row>
    <row r="338" spans="1:7">
      <c r="A338" s="1" t="s">
        <v>24</v>
      </c>
      <c r="B338" s="19" t="s">
        <v>10</v>
      </c>
      <c r="C338" s="6" t="s">
        <v>4</v>
      </c>
      <c r="D338" s="6" t="s">
        <v>4</v>
      </c>
      <c r="E338" s="6" t="s">
        <v>4</v>
      </c>
      <c r="F338" s="73"/>
      <c r="G338" s="74"/>
    </row>
    <row r="339" spans="1:7">
      <c r="A339" s="1" t="s">
        <v>25</v>
      </c>
      <c r="B339" s="18" t="s">
        <v>11</v>
      </c>
      <c r="C339" s="6" t="s">
        <v>4</v>
      </c>
      <c r="D339" s="6" t="s">
        <v>4</v>
      </c>
      <c r="E339" s="6" t="s">
        <v>4</v>
      </c>
      <c r="F339" s="73"/>
      <c r="G339" s="74"/>
    </row>
    <row r="340" spans="1:7">
      <c r="A340" s="17"/>
      <c r="B340" s="16"/>
      <c r="C340" s="4"/>
      <c r="D340" s="53"/>
      <c r="E340" s="53"/>
      <c r="F340" s="70"/>
      <c r="G340" s="74"/>
    </row>
    <row r="341" spans="1:7">
      <c r="A341" s="21" t="s">
        <v>26</v>
      </c>
      <c r="B341" s="15" t="s">
        <v>27</v>
      </c>
      <c r="C341" s="6" t="s">
        <v>4</v>
      </c>
      <c r="D341" s="6" t="s">
        <v>4</v>
      </c>
      <c r="E341" s="6"/>
      <c r="F341" s="70"/>
      <c r="G341" s="74"/>
    </row>
    <row r="342" spans="1:7">
      <c r="A342" s="17"/>
      <c r="B342" s="16"/>
      <c r="C342" s="4"/>
      <c r="D342" s="53"/>
      <c r="E342" s="53"/>
      <c r="F342" s="70"/>
      <c r="G342" s="74"/>
    </row>
    <row r="343" spans="1:7">
      <c r="A343" s="21" t="s">
        <v>28</v>
      </c>
      <c r="B343" s="15" t="s">
        <v>29</v>
      </c>
      <c r="C343" s="6" t="s">
        <v>4</v>
      </c>
      <c r="D343" s="6" t="s">
        <v>4</v>
      </c>
      <c r="E343" s="6"/>
      <c r="F343" s="70"/>
      <c r="G343" s="74"/>
    </row>
    <row r="344" spans="1:7">
      <c r="A344" s="17"/>
      <c r="B344" s="16"/>
      <c r="C344" s="4"/>
      <c r="D344" s="53"/>
      <c r="E344" s="53"/>
      <c r="F344" s="70"/>
      <c r="G344" s="74"/>
    </row>
    <row r="345" spans="1:7">
      <c r="A345" s="21" t="s">
        <v>30</v>
      </c>
      <c r="B345" s="15" t="s">
        <v>31</v>
      </c>
      <c r="C345" s="4"/>
      <c r="D345" s="53"/>
      <c r="E345" s="53"/>
      <c r="F345" s="70"/>
      <c r="G345" s="74"/>
    </row>
    <row r="346" spans="1:7">
      <c r="A346" s="21" t="s">
        <v>32</v>
      </c>
      <c r="B346" s="2" t="s">
        <v>33</v>
      </c>
      <c r="C346" s="6"/>
      <c r="D346" s="6"/>
      <c r="E346" s="6"/>
      <c r="F346" s="73"/>
      <c r="G346" s="74"/>
    </row>
    <row r="347" spans="1:7">
      <c r="A347" s="17"/>
      <c r="B347" s="42" t="s">
        <v>34</v>
      </c>
      <c r="C347" s="57" t="s">
        <v>12</v>
      </c>
      <c r="D347" s="53">
        <v>27</v>
      </c>
      <c r="E347" s="53">
        <v>27</v>
      </c>
      <c r="F347" s="74">
        <v>57.375000000000007</v>
      </c>
      <c r="G347" s="74">
        <f>+F347*E347</f>
        <v>1549.1250000000002</v>
      </c>
    </row>
    <row r="348" spans="1:7">
      <c r="A348" s="17"/>
      <c r="B348" s="43" t="s">
        <v>35</v>
      </c>
      <c r="C348" s="57"/>
      <c r="D348" s="53"/>
      <c r="E348" s="53"/>
      <c r="F348" s="70"/>
      <c r="G348" s="74"/>
    </row>
    <row r="349" spans="1:7">
      <c r="A349" s="17"/>
      <c r="B349" s="14"/>
      <c r="C349" s="57"/>
      <c r="D349" s="53"/>
      <c r="E349" s="53"/>
      <c r="F349" s="70"/>
      <c r="G349" s="74"/>
    </row>
    <row r="350" spans="1:7">
      <c r="A350" s="21" t="s">
        <v>36</v>
      </c>
      <c r="B350" s="2" t="s">
        <v>37</v>
      </c>
      <c r="C350" s="6" t="s">
        <v>13</v>
      </c>
      <c r="D350" s="6" t="s">
        <v>13</v>
      </c>
      <c r="E350" s="6" t="s">
        <v>13</v>
      </c>
      <c r="F350" s="73"/>
      <c r="G350" s="74"/>
    </row>
    <row r="351" spans="1:7">
      <c r="A351" s="21"/>
      <c r="B351" s="13"/>
      <c r="C351" s="8"/>
      <c r="D351" s="53"/>
      <c r="E351" s="53"/>
      <c r="F351" s="70"/>
      <c r="G351" s="74"/>
    </row>
    <row r="352" spans="1:7">
      <c r="A352" s="21" t="s">
        <v>38</v>
      </c>
      <c r="B352" s="2" t="s">
        <v>39</v>
      </c>
      <c r="C352" s="6"/>
      <c r="D352" s="6"/>
      <c r="E352" s="6"/>
      <c r="F352" s="73"/>
      <c r="G352" s="74"/>
    </row>
    <row r="353" spans="1:7" ht="24">
      <c r="A353" s="17"/>
      <c r="B353" s="42" t="s">
        <v>40</v>
      </c>
      <c r="C353" s="4" t="s">
        <v>12</v>
      </c>
      <c r="D353" s="53">
        <v>22</v>
      </c>
      <c r="E353" s="53">
        <v>22</v>
      </c>
      <c r="F353" s="74">
        <v>104.2</v>
      </c>
      <c r="G353" s="74">
        <f>+F353*E353</f>
        <v>2292.4</v>
      </c>
    </row>
    <row r="354" spans="1:7" ht="24">
      <c r="A354" s="17"/>
      <c r="B354" s="43" t="s">
        <v>41</v>
      </c>
      <c r="C354" s="58"/>
      <c r="D354" s="53"/>
      <c r="E354" s="53"/>
      <c r="F354" s="70"/>
      <c r="G354" s="74"/>
    </row>
    <row r="355" spans="1:7">
      <c r="A355" s="21"/>
      <c r="B355" s="13"/>
      <c r="C355" s="8"/>
      <c r="D355" s="53"/>
      <c r="E355" s="53"/>
      <c r="F355" s="70"/>
      <c r="G355" s="74"/>
    </row>
    <row r="356" spans="1:7">
      <c r="A356" s="21" t="s">
        <v>42</v>
      </c>
      <c r="B356" s="2" t="s">
        <v>43</v>
      </c>
      <c r="C356" s="5" t="s">
        <v>4</v>
      </c>
      <c r="D356" s="6" t="s">
        <v>4</v>
      </c>
      <c r="E356" s="6"/>
      <c r="F356" s="73"/>
      <c r="G356" s="74"/>
    </row>
    <row r="357" spans="1:7">
      <c r="A357" s="17"/>
      <c r="B357" s="12"/>
      <c r="C357" s="58"/>
      <c r="D357" s="53"/>
      <c r="E357" s="53"/>
      <c r="F357" s="70"/>
      <c r="G357" s="74"/>
    </row>
    <row r="358" spans="1:7">
      <c r="A358" s="21" t="s">
        <v>44</v>
      </c>
      <c r="B358" s="10" t="s">
        <v>45</v>
      </c>
      <c r="C358" s="5"/>
      <c r="D358" s="5"/>
      <c r="E358" s="5"/>
      <c r="F358" s="70"/>
      <c r="G358" s="74"/>
    </row>
    <row r="359" spans="1:7" ht="24">
      <c r="A359" s="17"/>
      <c r="B359" s="42" t="s">
        <v>46</v>
      </c>
      <c r="C359" s="57"/>
      <c r="D359" s="53"/>
      <c r="E359" s="53"/>
      <c r="F359" s="70"/>
      <c r="G359" s="74"/>
    </row>
    <row r="360" spans="1:7">
      <c r="A360" s="17"/>
      <c r="B360" s="44" t="s">
        <v>47</v>
      </c>
      <c r="C360" s="57" t="s">
        <v>0</v>
      </c>
      <c r="D360" s="59">
        <v>84</v>
      </c>
      <c r="E360" s="59">
        <v>84</v>
      </c>
      <c r="F360" s="74">
        <v>22.950000000000003</v>
      </c>
      <c r="G360" s="74">
        <f>+F360*E360</f>
        <v>1927.8000000000002</v>
      </c>
    </row>
    <row r="361" spans="1:7">
      <c r="A361" s="17"/>
      <c r="B361" s="44" t="s">
        <v>48</v>
      </c>
      <c r="C361" s="57" t="s">
        <v>0</v>
      </c>
      <c r="D361" s="59">
        <v>80</v>
      </c>
      <c r="E361" s="59">
        <v>80</v>
      </c>
      <c r="F361" s="74">
        <v>43.5</v>
      </c>
      <c r="G361" s="74">
        <f>+F361*E361</f>
        <v>3480</v>
      </c>
    </row>
    <row r="362" spans="1:7">
      <c r="A362" s="17"/>
      <c r="B362" s="44"/>
      <c r="C362" s="57"/>
      <c r="D362" s="59"/>
      <c r="E362" s="59"/>
      <c r="F362" s="70"/>
      <c r="G362" s="74"/>
    </row>
    <row r="363" spans="1:7">
      <c r="A363" s="17"/>
      <c r="B363" s="42" t="s">
        <v>49</v>
      </c>
      <c r="C363" s="57" t="s">
        <v>12</v>
      </c>
      <c r="D363" s="59">
        <v>2</v>
      </c>
      <c r="E363" s="59">
        <v>2</v>
      </c>
      <c r="F363" s="74">
        <v>175.5</v>
      </c>
      <c r="G363" s="74">
        <f>+F363*E363</f>
        <v>351</v>
      </c>
    </row>
    <row r="364" spans="1:7">
      <c r="A364" s="21"/>
      <c r="B364" s="45"/>
      <c r="C364" s="4"/>
      <c r="D364" s="59"/>
      <c r="E364" s="59"/>
      <c r="F364" s="70"/>
      <c r="G364" s="74"/>
    </row>
    <row r="365" spans="1:7">
      <c r="A365" s="21" t="s">
        <v>50</v>
      </c>
      <c r="B365" s="10" t="s">
        <v>51</v>
      </c>
      <c r="C365" s="4"/>
      <c r="D365" s="59"/>
      <c r="E365" s="59"/>
      <c r="F365" s="70"/>
      <c r="G365" s="74"/>
    </row>
    <row r="366" spans="1:7" ht="24">
      <c r="A366" s="21"/>
      <c r="B366" s="42" t="s">
        <v>52</v>
      </c>
      <c r="C366" s="4" t="s">
        <v>12</v>
      </c>
      <c r="D366" s="59">
        <v>2</v>
      </c>
      <c r="E366" s="59">
        <v>2</v>
      </c>
      <c r="F366" s="74">
        <v>675</v>
      </c>
      <c r="G366" s="74">
        <f>+F366*E366</f>
        <v>1350</v>
      </c>
    </row>
    <row r="367" spans="1:7">
      <c r="A367" s="1"/>
      <c r="B367" s="24"/>
      <c r="C367" s="4"/>
      <c r="D367" s="59"/>
      <c r="E367" s="59"/>
      <c r="F367" s="70"/>
      <c r="G367" s="74"/>
    </row>
    <row r="368" spans="1:7">
      <c r="A368" s="21" t="s">
        <v>53</v>
      </c>
      <c r="B368" s="10" t="s">
        <v>54</v>
      </c>
      <c r="C368" s="4"/>
      <c r="D368" s="59"/>
      <c r="E368" s="59"/>
      <c r="F368" s="70"/>
      <c r="G368" s="74"/>
    </row>
    <row r="369" spans="1:7">
      <c r="A369" s="11"/>
      <c r="B369" s="46" t="s">
        <v>55</v>
      </c>
      <c r="C369" s="4" t="s">
        <v>4</v>
      </c>
      <c r="D369" s="59" t="s">
        <v>4</v>
      </c>
      <c r="E369" s="59"/>
      <c r="F369" s="70"/>
      <c r="G369" s="74"/>
    </row>
    <row r="370" spans="1:7">
      <c r="A370" s="11"/>
      <c r="B370" s="10"/>
      <c r="C370" s="4"/>
      <c r="D370" s="59"/>
      <c r="E370" s="59"/>
      <c r="F370" s="70"/>
      <c r="G370" s="74"/>
    </row>
    <row r="371" spans="1:7">
      <c r="A371" s="21" t="s">
        <v>56</v>
      </c>
      <c r="B371" s="10" t="s">
        <v>57</v>
      </c>
      <c r="C371" s="4" t="s">
        <v>1</v>
      </c>
      <c r="D371" s="59">
        <v>2</v>
      </c>
      <c r="E371" s="59">
        <v>2</v>
      </c>
      <c r="F371" s="74">
        <v>337.5</v>
      </c>
      <c r="G371" s="74">
        <f>+F371*E371</f>
        <v>675</v>
      </c>
    </row>
    <row r="372" spans="1:7">
      <c r="A372" s="11"/>
      <c r="B372" s="10"/>
      <c r="C372" s="4"/>
      <c r="D372" s="59"/>
      <c r="E372" s="59"/>
      <c r="F372" s="70"/>
      <c r="G372" s="74"/>
    </row>
    <row r="373" spans="1:7">
      <c r="A373" s="21" t="s">
        <v>58</v>
      </c>
      <c r="B373" s="10" t="s">
        <v>59</v>
      </c>
      <c r="C373" s="4"/>
      <c r="D373" s="59"/>
      <c r="E373" s="59"/>
      <c r="F373" s="70"/>
      <c r="G373" s="74"/>
    </row>
    <row r="374" spans="1:7">
      <c r="A374" s="1"/>
      <c r="B374" s="42" t="s">
        <v>60</v>
      </c>
      <c r="C374" s="4" t="s">
        <v>12</v>
      </c>
      <c r="D374" s="59">
        <v>2</v>
      </c>
      <c r="E374" s="59">
        <v>2</v>
      </c>
      <c r="F374" s="74">
        <v>675</v>
      </c>
      <c r="G374" s="74">
        <f>+F374*E374</f>
        <v>1350</v>
      </c>
    </row>
    <row r="375" spans="1:7">
      <c r="A375" s="1"/>
      <c r="B375" s="42" t="s">
        <v>61</v>
      </c>
      <c r="C375" s="4" t="s">
        <v>12</v>
      </c>
      <c r="D375" s="59">
        <v>4</v>
      </c>
      <c r="E375" s="59">
        <v>4</v>
      </c>
      <c r="F375" s="74">
        <v>40.5</v>
      </c>
      <c r="G375" s="74">
        <f>+F375*E375</f>
        <v>162</v>
      </c>
    </row>
    <row r="376" spans="1:7">
      <c r="A376" s="1"/>
      <c r="B376" s="42" t="s">
        <v>62</v>
      </c>
      <c r="C376" s="60" t="s">
        <v>63</v>
      </c>
      <c r="D376" s="59"/>
      <c r="E376" s="59"/>
      <c r="F376" s="70"/>
      <c r="G376" s="74"/>
    </row>
    <row r="377" spans="1:7">
      <c r="A377" s="17"/>
      <c r="B377" s="25"/>
      <c r="C377" s="4"/>
      <c r="D377" s="53"/>
      <c r="E377" s="53"/>
      <c r="F377" s="70"/>
      <c r="G377" s="74"/>
    </row>
    <row r="378" spans="1:7" ht="28.5">
      <c r="A378" s="21" t="s">
        <v>64</v>
      </c>
      <c r="B378" s="15" t="s">
        <v>65</v>
      </c>
      <c r="C378" s="4"/>
      <c r="D378" s="53"/>
      <c r="E378" s="53"/>
      <c r="F378" s="70"/>
      <c r="G378" s="74"/>
    </row>
    <row r="379" spans="1:7">
      <c r="A379" s="17"/>
      <c r="B379" s="26"/>
      <c r="C379" s="4"/>
      <c r="D379" s="53"/>
      <c r="E379" s="53"/>
      <c r="F379" s="70"/>
      <c r="G379" s="74"/>
    </row>
    <row r="380" spans="1:7">
      <c r="A380" s="21" t="s">
        <v>66</v>
      </c>
      <c r="B380" s="12" t="s">
        <v>67</v>
      </c>
      <c r="C380" s="4"/>
      <c r="D380" s="53"/>
      <c r="E380" s="53"/>
      <c r="F380" s="70"/>
      <c r="G380" s="74"/>
    </row>
    <row r="381" spans="1:7">
      <c r="A381" s="17"/>
      <c r="B381" s="47" t="s">
        <v>68</v>
      </c>
      <c r="C381" s="4" t="s">
        <v>1</v>
      </c>
      <c r="D381" s="53">
        <v>1</v>
      </c>
      <c r="E381" s="53">
        <v>1</v>
      </c>
      <c r="F381" s="74">
        <v>2909.25</v>
      </c>
      <c r="G381" s="74">
        <f>+F381*E381</f>
        <v>2909.25</v>
      </c>
    </row>
    <row r="382" spans="1:7">
      <c r="A382" s="17"/>
      <c r="B382" s="12"/>
      <c r="C382" s="8"/>
      <c r="D382" s="53"/>
      <c r="E382" s="53"/>
      <c r="F382" s="70"/>
      <c r="G382" s="74"/>
    </row>
    <row r="383" spans="1:7" ht="28.5">
      <c r="A383" s="21" t="s">
        <v>69</v>
      </c>
      <c r="B383" s="12" t="s">
        <v>70</v>
      </c>
      <c r="C383" s="5" t="s">
        <v>4</v>
      </c>
      <c r="D383" s="53"/>
      <c r="E383" s="53"/>
      <c r="F383" s="70"/>
      <c r="G383" s="74"/>
    </row>
    <row r="384" spans="1:7">
      <c r="A384" s="17"/>
      <c r="B384" s="12"/>
      <c r="C384" s="5"/>
      <c r="D384" s="53"/>
      <c r="E384" s="53"/>
      <c r="F384" s="70"/>
      <c r="G384" s="74"/>
    </row>
    <row r="385" spans="1:7">
      <c r="A385" s="21" t="s">
        <v>71</v>
      </c>
      <c r="B385" s="12" t="s">
        <v>72</v>
      </c>
      <c r="C385" s="5"/>
      <c r="D385" s="53"/>
      <c r="E385" s="53"/>
      <c r="F385" s="70"/>
      <c r="G385" s="74"/>
    </row>
    <row r="386" spans="1:7">
      <c r="A386" s="17"/>
      <c r="B386" s="12"/>
      <c r="C386" s="8"/>
      <c r="D386" s="53"/>
      <c r="E386" s="53"/>
      <c r="F386" s="70"/>
      <c r="G386" s="74"/>
    </row>
    <row r="387" spans="1:7">
      <c r="A387" s="41" t="s">
        <v>73</v>
      </c>
      <c r="B387" s="12" t="s">
        <v>74</v>
      </c>
      <c r="C387" s="8"/>
      <c r="D387" s="53"/>
      <c r="E387" s="53"/>
      <c r="F387" s="70"/>
      <c r="G387" s="74"/>
    </row>
    <row r="388" spans="1:7">
      <c r="A388" s="17"/>
      <c r="B388" s="3" t="s">
        <v>75</v>
      </c>
      <c r="C388" s="8" t="s">
        <v>1</v>
      </c>
      <c r="D388" s="53">
        <v>2</v>
      </c>
      <c r="E388" s="53">
        <v>2</v>
      </c>
      <c r="F388" s="74">
        <v>337.5</v>
      </c>
      <c r="G388" s="74">
        <f>+F388*E388</f>
        <v>675</v>
      </c>
    </row>
    <row r="389" spans="1:7">
      <c r="A389" s="17"/>
      <c r="B389" s="3" t="s">
        <v>76</v>
      </c>
      <c r="C389" s="8" t="s">
        <v>0</v>
      </c>
      <c r="D389" s="53">
        <v>22</v>
      </c>
      <c r="E389" s="53">
        <v>22</v>
      </c>
      <c r="F389" s="74">
        <v>53</v>
      </c>
      <c r="G389" s="74">
        <f>+F389*E389</f>
        <v>1166</v>
      </c>
    </row>
    <row r="390" spans="1:7">
      <c r="A390" s="17"/>
      <c r="B390" s="3" t="s">
        <v>77</v>
      </c>
      <c r="C390" s="8" t="s">
        <v>12</v>
      </c>
      <c r="D390" s="53">
        <v>2</v>
      </c>
      <c r="E390" s="53">
        <v>2</v>
      </c>
      <c r="F390" s="74">
        <v>175.5</v>
      </c>
      <c r="G390" s="74">
        <f>+F390*E390</f>
        <v>351</v>
      </c>
    </row>
    <row r="391" spans="1:7">
      <c r="A391" s="17"/>
      <c r="B391" s="3"/>
      <c r="C391" s="8"/>
      <c r="D391" s="53"/>
      <c r="E391" s="53"/>
      <c r="F391" s="70"/>
      <c r="G391" s="74"/>
    </row>
    <row r="392" spans="1:7">
      <c r="A392" s="41"/>
      <c r="B392" s="12" t="s">
        <v>78</v>
      </c>
      <c r="C392" s="8"/>
      <c r="D392" s="53"/>
      <c r="E392" s="53"/>
      <c r="F392" s="70"/>
      <c r="G392" s="74"/>
    </row>
    <row r="393" spans="1:7">
      <c r="A393" s="17"/>
      <c r="B393" s="3" t="s">
        <v>79</v>
      </c>
      <c r="C393" s="8" t="s">
        <v>4</v>
      </c>
      <c r="D393" s="53"/>
      <c r="E393" s="53"/>
      <c r="F393" s="70"/>
      <c r="G393" s="74"/>
    </row>
    <row r="394" spans="1:7">
      <c r="A394" s="17"/>
      <c r="B394" s="12"/>
      <c r="C394" s="8"/>
      <c r="D394" s="53"/>
      <c r="E394" s="53"/>
      <c r="F394" s="70"/>
      <c r="G394" s="74"/>
    </row>
    <row r="395" spans="1:7">
      <c r="A395" s="41" t="s">
        <v>80</v>
      </c>
      <c r="B395" s="12" t="s">
        <v>81</v>
      </c>
      <c r="C395" s="58"/>
      <c r="D395" s="53"/>
      <c r="E395" s="53"/>
      <c r="F395" s="70"/>
      <c r="G395" s="74"/>
    </row>
    <row r="396" spans="1:7">
      <c r="A396" s="17"/>
      <c r="B396" s="3" t="s">
        <v>82</v>
      </c>
      <c r="C396" s="58"/>
      <c r="D396" s="53"/>
      <c r="E396" s="53"/>
      <c r="F396" s="70"/>
      <c r="G396" s="74"/>
    </row>
    <row r="397" spans="1:7">
      <c r="A397" s="17"/>
      <c r="B397" s="3" t="s">
        <v>83</v>
      </c>
      <c r="C397" s="8" t="s">
        <v>12</v>
      </c>
      <c r="D397" s="53">
        <v>9</v>
      </c>
      <c r="E397" s="53">
        <v>9</v>
      </c>
      <c r="F397" s="74">
        <v>337.5</v>
      </c>
      <c r="G397" s="74">
        <f>+F397*E397</f>
        <v>3037.5</v>
      </c>
    </row>
    <row r="398" spans="1:7">
      <c r="A398" s="17"/>
      <c r="B398" s="43" t="s">
        <v>84</v>
      </c>
      <c r="C398" s="8"/>
      <c r="D398" s="53"/>
      <c r="E398" s="53"/>
      <c r="F398" s="70"/>
      <c r="G398" s="74"/>
    </row>
    <row r="399" spans="1:7">
      <c r="A399" s="17"/>
      <c r="B399" s="12"/>
      <c r="C399" s="8"/>
      <c r="D399" s="53"/>
      <c r="E399" s="53"/>
      <c r="F399" s="70"/>
      <c r="G399" s="74"/>
    </row>
    <row r="400" spans="1:7">
      <c r="A400" s="41" t="s">
        <v>85</v>
      </c>
      <c r="B400" s="12" t="s">
        <v>86</v>
      </c>
      <c r="C400" s="58"/>
      <c r="D400" s="53"/>
      <c r="E400" s="53"/>
      <c r="F400" s="70"/>
      <c r="G400" s="74"/>
    </row>
    <row r="401" spans="1:7" ht="24">
      <c r="A401" s="17"/>
      <c r="B401" s="43" t="s">
        <v>87</v>
      </c>
      <c r="C401" s="58"/>
      <c r="D401" s="53"/>
      <c r="E401" s="53"/>
      <c r="F401" s="70"/>
      <c r="G401" s="74"/>
    </row>
    <row r="402" spans="1:7">
      <c r="A402" s="17"/>
      <c r="B402" s="48" t="s">
        <v>88</v>
      </c>
      <c r="C402" s="8" t="s">
        <v>0</v>
      </c>
      <c r="D402" s="53">
        <v>127</v>
      </c>
      <c r="E402" s="53">
        <v>127</v>
      </c>
      <c r="F402" s="74">
        <v>53.2</v>
      </c>
      <c r="G402" s="74">
        <f>+F402*E402</f>
        <v>6756.4000000000005</v>
      </c>
    </row>
    <row r="403" spans="1:7">
      <c r="A403" s="17"/>
      <c r="B403" s="43" t="s">
        <v>89</v>
      </c>
      <c r="C403" s="58"/>
      <c r="D403" s="53"/>
      <c r="E403" s="53"/>
      <c r="F403" s="70"/>
      <c r="G403" s="74"/>
    </row>
    <row r="404" spans="1:7">
      <c r="A404" s="17"/>
      <c r="B404" s="12"/>
      <c r="C404" s="8"/>
      <c r="D404" s="53"/>
      <c r="E404" s="53"/>
      <c r="F404" s="70"/>
      <c r="G404" s="74"/>
    </row>
    <row r="405" spans="1:7">
      <c r="A405" s="41" t="s">
        <v>90</v>
      </c>
      <c r="B405" s="12" t="s">
        <v>91</v>
      </c>
      <c r="C405" s="58"/>
      <c r="D405" s="53"/>
      <c r="E405" s="53"/>
      <c r="F405" s="70"/>
      <c r="G405" s="74"/>
    </row>
    <row r="406" spans="1:7">
      <c r="A406" s="17" t="s">
        <v>92</v>
      </c>
      <c r="B406" s="49" t="s">
        <v>93</v>
      </c>
      <c r="C406" s="58"/>
      <c r="D406" s="53"/>
      <c r="E406" s="53"/>
      <c r="F406" s="70"/>
      <c r="G406" s="74"/>
    </row>
    <row r="407" spans="1:7">
      <c r="A407" s="17"/>
      <c r="B407" s="3" t="s">
        <v>94</v>
      </c>
      <c r="C407" s="58"/>
      <c r="D407" s="53"/>
      <c r="E407" s="53"/>
      <c r="F407" s="70"/>
      <c r="G407" s="74"/>
    </row>
    <row r="408" spans="1:7" ht="24">
      <c r="A408" s="17"/>
      <c r="B408" s="43" t="s">
        <v>95</v>
      </c>
      <c r="C408" s="8" t="s">
        <v>1</v>
      </c>
      <c r="D408" s="53">
        <v>7</v>
      </c>
      <c r="E408" s="53">
        <v>7</v>
      </c>
      <c r="F408" s="74">
        <v>607.5</v>
      </c>
      <c r="G408" s="74">
        <f>+F408*E408</f>
        <v>4252.5</v>
      </c>
    </row>
    <row r="409" spans="1:7">
      <c r="A409" s="17"/>
      <c r="B409" s="49" t="s">
        <v>96</v>
      </c>
      <c r="C409" s="58"/>
      <c r="D409" s="53"/>
      <c r="E409" s="53"/>
      <c r="F409" s="70"/>
      <c r="G409" s="74"/>
    </row>
    <row r="410" spans="1:7" ht="24">
      <c r="A410" s="17"/>
      <c r="B410" s="3" t="s">
        <v>97</v>
      </c>
      <c r="C410" s="8" t="s">
        <v>12</v>
      </c>
      <c r="D410" s="53">
        <v>7</v>
      </c>
      <c r="E410" s="53">
        <v>7</v>
      </c>
      <c r="F410" s="74">
        <v>229.50000000000003</v>
      </c>
      <c r="G410" s="74">
        <f>+F410*E410</f>
        <v>1606.5000000000002</v>
      </c>
    </row>
    <row r="411" spans="1:7">
      <c r="A411" s="17"/>
      <c r="B411" s="3" t="s">
        <v>98</v>
      </c>
      <c r="C411" s="8"/>
      <c r="D411" s="53"/>
      <c r="E411" s="53"/>
      <c r="F411" s="70"/>
      <c r="G411" s="74"/>
    </row>
    <row r="412" spans="1:7">
      <c r="A412" s="17"/>
      <c r="B412" s="3" t="s">
        <v>99</v>
      </c>
      <c r="C412" s="8" t="s">
        <v>1</v>
      </c>
      <c r="D412" s="8">
        <v>3</v>
      </c>
      <c r="E412" s="8">
        <v>3</v>
      </c>
      <c r="F412" s="74">
        <v>1282.5</v>
      </c>
      <c r="G412" s="74">
        <f>+F412*E412</f>
        <v>3847.5</v>
      </c>
    </row>
    <row r="413" spans="1:7">
      <c r="A413" s="17"/>
      <c r="B413" s="48" t="s">
        <v>100</v>
      </c>
      <c r="C413" s="8" t="s">
        <v>1</v>
      </c>
      <c r="D413" s="9">
        <v>4</v>
      </c>
      <c r="E413" s="9">
        <v>4</v>
      </c>
      <c r="F413" s="74">
        <v>2160</v>
      </c>
      <c r="G413" s="74">
        <f>+F413*E413</f>
        <v>8640</v>
      </c>
    </row>
    <row r="414" spans="1:7" ht="24">
      <c r="A414" s="17"/>
      <c r="B414" s="48" t="s">
        <v>101</v>
      </c>
      <c r="C414" s="8"/>
      <c r="D414" s="53"/>
      <c r="E414" s="53"/>
      <c r="F414" s="70"/>
      <c r="G414" s="74"/>
    </row>
    <row r="415" spans="1:7">
      <c r="A415" s="17" t="s">
        <v>102</v>
      </c>
      <c r="B415" s="49" t="s">
        <v>103</v>
      </c>
      <c r="C415" s="58"/>
      <c r="D415" s="53"/>
      <c r="E415" s="53"/>
      <c r="F415" s="70"/>
      <c r="G415" s="74"/>
    </row>
    <row r="416" spans="1:7" ht="24">
      <c r="A416" s="17"/>
      <c r="B416" s="43" t="s">
        <v>104</v>
      </c>
      <c r="C416" s="8" t="s">
        <v>1</v>
      </c>
      <c r="D416" s="53">
        <v>1</v>
      </c>
      <c r="E416" s="53">
        <v>1</v>
      </c>
      <c r="F416" s="74">
        <v>405</v>
      </c>
      <c r="G416" s="74">
        <f>+F416*E416</f>
        <v>405</v>
      </c>
    </row>
    <row r="417" spans="1:7">
      <c r="A417" s="17"/>
      <c r="B417" s="12"/>
      <c r="C417" s="8"/>
      <c r="D417" s="53"/>
      <c r="E417" s="53"/>
      <c r="F417" s="70"/>
      <c r="G417" s="74"/>
    </row>
    <row r="418" spans="1:7">
      <c r="A418" s="41" t="s">
        <v>105</v>
      </c>
      <c r="B418" s="12" t="s">
        <v>106</v>
      </c>
      <c r="C418" s="8" t="s">
        <v>1</v>
      </c>
      <c r="D418" s="53">
        <v>2</v>
      </c>
      <c r="E418" s="53">
        <v>2</v>
      </c>
      <c r="F418" s="74">
        <v>270</v>
      </c>
      <c r="G418" s="74">
        <f>+F418*E418</f>
        <v>540</v>
      </c>
    </row>
    <row r="419" spans="1:7">
      <c r="A419" s="17"/>
      <c r="B419" s="12"/>
      <c r="C419" s="8"/>
      <c r="D419" s="53"/>
      <c r="E419" s="53"/>
      <c r="F419" s="70"/>
      <c r="G419" s="74"/>
    </row>
    <row r="420" spans="1:7">
      <c r="A420" s="21" t="s">
        <v>107</v>
      </c>
      <c r="B420" s="12" t="s">
        <v>108</v>
      </c>
      <c r="C420" s="8"/>
      <c r="D420" s="53"/>
      <c r="E420" s="53"/>
      <c r="F420" s="70"/>
      <c r="G420" s="74"/>
    </row>
    <row r="421" spans="1:7">
      <c r="A421" s="17"/>
      <c r="B421" s="12"/>
      <c r="C421" s="8"/>
      <c r="D421" s="53"/>
      <c r="E421" s="53"/>
      <c r="F421" s="70"/>
      <c r="G421" s="74"/>
    </row>
    <row r="422" spans="1:7">
      <c r="A422" s="41" t="s">
        <v>109</v>
      </c>
      <c r="B422" s="49" t="s">
        <v>74</v>
      </c>
      <c r="C422" s="53"/>
      <c r="D422" s="59"/>
      <c r="E422" s="59"/>
      <c r="F422" s="70"/>
      <c r="G422" s="74"/>
    </row>
    <row r="423" spans="1:7" ht="24">
      <c r="A423" s="17"/>
      <c r="B423" s="43" t="s">
        <v>110</v>
      </c>
      <c r="C423" s="8" t="s">
        <v>1</v>
      </c>
      <c r="D423" s="53">
        <v>7</v>
      </c>
      <c r="E423" s="53">
        <v>7</v>
      </c>
      <c r="F423" s="74">
        <v>4350</v>
      </c>
      <c r="G423" s="74">
        <f>+F423*E423</f>
        <v>30450</v>
      </c>
    </row>
    <row r="424" spans="1:7">
      <c r="A424" s="17"/>
      <c r="B424" s="43" t="s">
        <v>111</v>
      </c>
      <c r="C424" s="8" t="s">
        <v>12</v>
      </c>
      <c r="D424" s="53">
        <v>1</v>
      </c>
      <c r="E424" s="53">
        <v>1</v>
      </c>
      <c r="F424" s="74">
        <v>216</v>
      </c>
      <c r="G424" s="74">
        <f>+F424*E424</f>
        <v>216</v>
      </c>
    </row>
    <row r="425" spans="1:7">
      <c r="A425" s="28"/>
      <c r="B425" s="49"/>
      <c r="C425" s="53"/>
      <c r="D425" s="59"/>
      <c r="E425" s="59"/>
      <c r="F425" s="70"/>
      <c r="G425" s="74"/>
    </row>
    <row r="426" spans="1:7">
      <c r="A426" s="41" t="s">
        <v>112</v>
      </c>
      <c r="B426" s="49" t="s">
        <v>113</v>
      </c>
      <c r="C426" s="53"/>
      <c r="D426" s="59"/>
      <c r="E426" s="59"/>
      <c r="F426" s="70"/>
      <c r="G426" s="74"/>
    </row>
    <row r="427" spans="1:7">
      <c r="A427" s="28"/>
      <c r="B427" s="47" t="s">
        <v>114</v>
      </c>
      <c r="C427" s="53" t="s">
        <v>12</v>
      </c>
      <c r="D427" s="59">
        <v>7</v>
      </c>
      <c r="E427" s="59">
        <v>7</v>
      </c>
      <c r="F427" s="74">
        <v>229.50000000000003</v>
      </c>
      <c r="G427" s="74">
        <f>+F427*E427</f>
        <v>1606.5000000000002</v>
      </c>
    </row>
    <row r="428" spans="1:7" ht="24">
      <c r="A428" s="28"/>
      <c r="B428" s="47" t="s">
        <v>115</v>
      </c>
      <c r="C428" s="53"/>
      <c r="D428" s="59"/>
      <c r="E428" s="59"/>
      <c r="F428" s="70"/>
      <c r="G428" s="74"/>
    </row>
    <row r="429" spans="1:7">
      <c r="A429" s="28"/>
      <c r="B429" s="3" t="s">
        <v>99</v>
      </c>
      <c r="C429" s="8" t="s">
        <v>1</v>
      </c>
      <c r="D429" s="8">
        <v>3</v>
      </c>
      <c r="E429" s="8">
        <v>3</v>
      </c>
      <c r="F429" s="74">
        <v>1620</v>
      </c>
      <c r="G429" s="74">
        <f>+F429*E429</f>
        <v>4860</v>
      </c>
    </row>
    <row r="430" spans="1:7">
      <c r="A430" s="28"/>
      <c r="B430" s="48" t="s">
        <v>100</v>
      </c>
      <c r="C430" s="8" t="s">
        <v>1</v>
      </c>
      <c r="D430" s="9">
        <v>4</v>
      </c>
      <c r="E430" s="9">
        <v>4</v>
      </c>
      <c r="F430" s="74">
        <v>2025.0000000000002</v>
      </c>
      <c r="G430" s="74">
        <f>+F430*E430</f>
        <v>8100.0000000000009</v>
      </c>
    </row>
    <row r="431" spans="1:7">
      <c r="A431" s="29"/>
      <c r="B431" s="48" t="s">
        <v>116</v>
      </c>
      <c r="C431" s="8" t="s">
        <v>12</v>
      </c>
      <c r="D431" s="9">
        <v>1</v>
      </c>
      <c r="E431" s="9">
        <v>1</v>
      </c>
      <c r="F431" s="74">
        <v>243.00000000000003</v>
      </c>
      <c r="G431" s="74">
        <f>+F431*E431</f>
        <v>243.00000000000003</v>
      </c>
    </row>
    <row r="432" spans="1:7">
      <c r="A432" s="17"/>
      <c r="B432" s="3"/>
      <c r="C432" s="8"/>
      <c r="D432" s="53"/>
      <c r="E432" s="53"/>
      <c r="F432" s="70"/>
      <c r="G432" s="74"/>
    </row>
    <row r="433" spans="1:7">
      <c r="A433" s="21" t="s">
        <v>117</v>
      </c>
      <c r="B433" s="12" t="s">
        <v>118</v>
      </c>
      <c r="C433" s="8"/>
      <c r="D433" s="53"/>
      <c r="E433" s="53"/>
      <c r="F433" s="70"/>
      <c r="G433" s="74"/>
    </row>
    <row r="434" spans="1:7">
      <c r="A434" s="17"/>
      <c r="B434" s="12"/>
      <c r="C434" s="8"/>
      <c r="D434" s="53"/>
      <c r="E434" s="53"/>
      <c r="F434" s="70"/>
      <c r="G434" s="74"/>
    </row>
    <row r="435" spans="1:7">
      <c r="A435" s="41" t="s">
        <v>119</v>
      </c>
      <c r="B435" s="12" t="s">
        <v>120</v>
      </c>
      <c r="C435" s="8" t="s">
        <v>4</v>
      </c>
      <c r="D435" s="8" t="s">
        <v>4</v>
      </c>
      <c r="E435" s="8"/>
      <c r="F435" s="70"/>
      <c r="G435" s="74"/>
    </row>
    <row r="436" spans="1:7">
      <c r="A436" s="17"/>
      <c r="B436" s="14"/>
      <c r="C436" s="57"/>
      <c r="D436" s="53"/>
      <c r="E436" s="53"/>
      <c r="F436" s="70"/>
      <c r="G436" s="74"/>
    </row>
    <row r="437" spans="1:7">
      <c r="A437" s="41" t="s">
        <v>121</v>
      </c>
      <c r="B437" s="12" t="s">
        <v>122</v>
      </c>
      <c r="C437" s="57"/>
      <c r="D437" s="53"/>
      <c r="E437" s="53"/>
      <c r="F437" s="70"/>
      <c r="G437" s="74"/>
    </row>
    <row r="438" spans="1:7">
      <c r="A438" s="17"/>
      <c r="B438" s="50"/>
      <c r="C438" s="57"/>
      <c r="D438" s="53"/>
      <c r="E438" s="53"/>
      <c r="F438" s="70"/>
      <c r="G438" s="74"/>
    </row>
    <row r="439" spans="1:7">
      <c r="A439" s="30"/>
      <c r="B439" s="43" t="s">
        <v>123</v>
      </c>
      <c r="C439" s="57"/>
      <c r="D439" s="59"/>
      <c r="E439" s="59"/>
      <c r="F439" s="70"/>
      <c r="G439" s="74"/>
    </row>
    <row r="440" spans="1:7">
      <c r="A440" s="30"/>
      <c r="B440" s="44" t="s">
        <v>124</v>
      </c>
      <c r="C440" s="9" t="s">
        <v>0</v>
      </c>
      <c r="D440" s="59">
        <v>15</v>
      </c>
      <c r="E440" s="59">
        <v>15</v>
      </c>
      <c r="F440" s="74">
        <v>51.300000000000004</v>
      </c>
      <c r="G440" s="74">
        <f>+F440*E440</f>
        <v>769.50000000000011</v>
      </c>
    </row>
    <row r="441" spans="1:7">
      <c r="A441" s="30"/>
      <c r="B441" s="43" t="s">
        <v>125</v>
      </c>
      <c r="C441" s="57"/>
      <c r="D441" s="59"/>
      <c r="E441" s="59"/>
      <c r="F441" s="70"/>
      <c r="G441" s="74"/>
    </row>
    <row r="442" spans="1:7">
      <c r="A442" s="30"/>
      <c r="B442" s="44" t="s">
        <v>126</v>
      </c>
      <c r="C442" s="57" t="s">
        <v>0</v>
      </c>
      <c r="D442" s="59">
        <v>180</v>
      </c>
      <c r="E442" s="59">
        <v>180</v>
      </c>
      <c r="F442" s="74">
        <v>42.2</v>
      </c>
      <c r="G442" s="74">
        <f t="shared" ref="G442:G449" si="31">+F442*E442</f>
        <v>7596.0000000000009</v>
      </c>
    </row>
    <row r="443" spans="1:7">
      <c r="A443" s="30"/>
      <c r="B443" s="43" t="s">
        <v>127</v>
      </c>
      <c r="C443" s="57"/>
      <c r="D443" s="59"/>
      <c r="E443" s="59"/>
      <c r="F443" s="70"/>
      <c r="G443" s="74">
        <f t="shared" si="31"/>
        <v>0</v>
      </c>
    </row>
    <row r="444" spans="1:7">
      <c r="A444" s="30"/>
      <c r="B444" s="44" t="s">
        <v>126</v>
      </c>
      <c r="C444" s="57" t="s">
        <v>0</v>
      </c>
      <c r="D444" s="59">
        <v>12</v>
      </c>
      <c r="E444" s="59">
        <v>12</v>
      </c>
      <c r="F444" s="74">
        <v>37.800000000000004</v>
      </c>
      <c r="G444" s="74">
        <f t="shared" si="31"/>
        <v>453.6</v>
      </c>
    </row>
    <row r="445" spans="1:7">
      <c r="A445" s="30"/>
      <c r="B445" s="43"/>
      <c r="C445" s="57"/>
      <c r="D445" s="59"/>
      <c r="E445" s="59"/>
      <c r="F445" s="70"/>
      <c r="G445" s="74">
        <f t="shared" si="31"/>
        <v>0</v>
      </c>
    </row>
    <row r="446" spans="1:7">
      <c r="A446" s="30"/>
      <c r="B446" s="43" t="s">
        <v>128</v>
      </c>
      <c r="C446" s="57" t="s">
        <v>12</v>
      </c>
      <c r="D446" s="59">
        <v>4</v>
      </c>
      <c r="E446" s="59">
        <v>4</v>
      </c>
      <c r="F446" s="74">
        <v>162</v>
      </c>
      <c r="G446" s="74">
        <f t="shared" si="31"/>
        <v>648</v>
      </c>
    </row>
    <row r="447" spans="1:7">
      <c r="A447" s="30"/>
      <c r="B447" s="51"/>
      <c r="C447" s="57"/>
      <c r="D447" s="59"/>
      <c r="E447" s="59"/>
      <c r="F447" s="70"/>
      <c r="G447" s="74">
        <f t="shared" si="31"/>
        <v>0</v>
      </c>
    </row>
    <row r="448" spans="1:7">
      <c r="A448" s="30"/>
      <c r="B448" s="31" t="s">
        <v>129</v>
      </c>
      <c r="C448" s="57"/>
      <c r="D448" s="59"/>
      <c r="E448" s="59"/>
      <c r="F448" s="70"/>
      <c r="G448" s="74">
        <f t="shared" si="31"/>
        <v>0</v>
      </c>
    </row>
    <row r="449" spans="1:7" ht="24">
      <c r="A449" s="30"/>
      <c r="B449" s="43" t="s">
        <v>130</v>
      </c>
      <c r="C449" s="4" t="s">
        <v>12</v>
      </c>
      <c r="D449" s="59">
        <v>50</v>
      </c>
      <c r="E449" s="59">
        <v>50</v>
      </c>
      <c r="F449" s="74">
        <v>123.6</v>
      </c>
      <c r="G449" s="74">
        <f t="shared" si="31"/>
        <v>6180</v>
      </c>
    </row>
    <row r="450" spans="1:7">
      <c r="A450" s="17"/>
      <c r="B450" s="12"/>
      <c r="C450" s="57"/>
      <c r="D450" s="53"/>
      <c r="E450" s="53"/>
      <c r="F450" s="70"/>
      <c r="G450" s="74"/>
    </row>
    <row r="451" spans="1:7">
      <c r="A451" s="21" t="s">
        <v>131</v>
      </c>
      <c r="B451" s="12" t="s">
        <v>132</v>
      </c>
      <c r="C451" s="8"/>
      <c r="D451" s="53"/>
      <c r="E451" s="53"/>
      <c r="F451" s="70"/>
      <c r="G451" s="74"/>
    </row>
    <row r="452" spans="1:7">
      <c r="A452" s="17"/>
      <c r="B452" s="12"/>
      <c r="C452" s="8"/>
      <c r="D452" s="53"/>
      <c r="E452" s="53"/>
      <c r="F452" s="70"/>
      <c r="G452" s="74"/>
    </row>
    <row r="453" spans="1:7">
      <c r="A453" s="41" t="s">
        <v>133</v>
      </c>
      <c r="B453" s="12" t="s">
        <v>134</v>
      </c>
      <c r="C453" s="8" t="s">
        <v>4</v>
      </c>
      <c r="D453" s="8" t="s">
        <v>4</v>
      </c>
      <c r="E453" s="8"/>
      <c r="F453" s="70"/>
      <c r="G453" s="74"/>
    </row>
    <row r="454" spans="1:7">
      <c r="A454" s="17"/>
      <c r="B454" s="14"/>
      <c r="C454" s="57"/>
      <c r="D454" s="53"/>
      <c r="E454" s="53"/>
      <c r="F454" s="70"/>
      <c r="G454" s="74"/>
    </row>
    <row r="455" spans="1:7">
      <c r="A455" s="41" t="s">
        <v>135</v>
      </c>
      <c r="B455" s="12" t="s">
        <v>136</v>
      </c>
      <c r="C455" s="8"/>
      <c r="D455" s="53"/>
      <c r="E455" s="53"/>
      <c r="F455" s="70"/>
      <c r="G455" s="74"/>
    </row>
    <row r="456" spans="1:7">
      <c r="A456" s="32"/>
      <c r="B456" s="43" t="s">
        <v>137</v>
      </c>
      <c r="C456" s="57" t="s">
        <v>12</v>
      </c>
      <c r="D456" s="53">
        <v>9</v>
      </c>
      <c r="E456" s="53">
        <v>9</v>
      </c>
      <c r="F456" s="74">
        <v>472.50000000000006</v>
      </c>
      <c r="G456" s="74">
        <f t="shared" ref="G456:G462" si="32">+F456*E456</f>
        <v>4252.5000000000009</v>
      </c>
    </row>
    <row r="457" spans="1:7">
      <c r="A457" s="32"/>
      <c r="B457" s="43" t="s">
        <v>138</v>
      </c>
      <c r="C457" s="57" t="s">
        <v>12</v>
      </c>
      <c r="D457" s="53">
        <v>9</v>
      </c>
      <c r="E457" s="53">
        <v>9</v>
      </c>
      <c r="F457" s="74">
        <v>702</v>
      </c>
      <c r="G457" s="74">
        <f t="shared" si="32"/>
        <v>6318</v>
      </c>
    </row>
    <row r="458" spans="1:7" ht="24">
      <c r="A458" s="32"/>
      <c r="B458" s="43" t="s">
        <v>139</v>
      </c>
      <c r="C458" s="57" t="s">
        <v>12</v>
      </c>
      <c r="D458" s="53">
        <v>9</v>
      </c>
      <c r="E458" s="53">
        <v>9</v>
      </c>
      <c r="F458" s="74">
        <v>1260</v>
      </c>
      <c r="G458" s="74">
        <f t="shared" si="32"/>
        <v>11340</v>
      </c>
    </row>
    <row r="459" spans="1:7">
      <c r="A459" s="32"/>
      <c r="B459" s="43" t="s">
        <v>140</v>
      </c>
      <c r="C459" s="57" t="s">
        <v>12</v>
      </c>
      <c r="D459" s="53">
        <v>7</v>
      </c>
      <c r="E459" s="53">
        <v>7</v>
      </c>
      <c r="F459" s="74">
        <v>680</v>
      </c>
      <c r="G459" s="74">
        <f t="shared" si="32"/>
        <v>4760</v>
      </c>
    </row>
    <row r="460" spans="1:7">
      <c r="A460" s="32"/>
      <c r="B460" s="43" t="s">
        <v>141</v>
      </c>
      <c r="C460" s="57" t="s">
        <v>12</v>
      </c>
      <c r="D460" s="53">
        <v>14</v>
      </c>
      <c r="E460" s="53">
        <v>14</v>
      </c>
      <c r="F460" s="74">
        <v>121.50000000000001</v>
      </c>
      <c r="G460" s="74">
        <f t="shared" si="32"/>
        <v>1701.0000000000002</v>
      </c>
    </row>
    <row r="461" spans="1:7">
      <c r="A461" s="32"/>
      <c r="B461" s="43" t="s">
        <v>142</v>
      </c>
      <c r="C461" s="57" t="s">
        <v>12</v>
      </c>
      <c r="D461" s="53">
        <v>1</v>
      </c>
      <c r="E461" s="53">
        <v>1</v>
      </c>
      <c r="F461" s="74">
        <v>297</v>
      </c>
      <c r="G461" s="74">
        <f t="shared" si="32"/>
        <v>297</v>
      </c>
    </row>
    <row r="462" spans="1:7">
      <c r="A462" s="32"/>
      <c r="B462" s="43" t="s">
        <v>143</v>
      </c>
      <c r="C462" s="57" t="s">
        <v>12</v>
      </c>
      <c r="D462" s="53">
        <v>1</v>
      </c>
      <c r="E462" s="53">
        <v>1</v>
      </c>
      <c r="F462" s="74">
        <v>513</v>
      </c>
      <c r="G462" s="74">
        <f t="shared" si="32"/>
        <v>513</v>
      </c>
    </row>
    <row r="463" spans="1:7">
      <c r="A463" s="32"/>
      <c r="B463" s="14"/>
      <c r="C463" s="57"/>
      <c r="D463" s="53"/>
      <c r="E463" s="53"/>
      <c r="F463" s="74"/>
      <c r="G463" s="74"/>
    </row>
    <row r="464" spans="1:7">
      <c r="A464" s="21" t="s">
        <v>144</v>
      </c>
      <c r="B464" s="31" t="s">
        <v>145</v>
      </c>
      <c r="C464" s="57"/>
      <c r="D464" s="53"/>
      <c r="E464" s="53"/>
      <c r="F464" s="70"/>
      <c r="G464" s="74"/>
    </row>
    <row r="465" spans="1:7">
      <c r="A465" s="17"/>
      <c r="B465" s="43" t="s">
        <v>146</v>
      </c>
      <c r="C465" s="57" t="s">
        <v>12</v>
      </c>
      <c r="D465" s="53">
        <v>9</v>
      </c>
      <c r="E465" s="53">
        <v>9</v>
      </c>
      <c r="F465" s="74">
        <v>746.5</v>
      </c>
      <c r="G465" s="74">
        <f>+F465*E465</f>
        <v>6718.5</v>
      </c>
    </row>
    <row r="466" spans="1:7">
      <c r="A466" s="17"/>
      <c r="B466" s="12"/>
      <c r="C466" s="4"/>
      <c r="D466" s="53"/>
      <c r="E466" s="53"/>
      <c r="F466" s="70"/>
      <c r="G466" s="74"/>
    </row>
    <row r="467" spans="1:7">
      <c r="A467" s="21" t="s">
        <v>147</v>
      </c>
      <c r="B467" s="12" t="s">
        <v>148</v>
      </c>
      <c r="C467" s="8"/>
      <c r="D467" s="53"/>
      <c r="E467" s="53"/>
      <c r="F467" s="70"/>
      <c r="G467" s="74"/>
    </row>
    <row r="468" spans="1:7">
      <c r="A468" s="17"/>
      <c r="B468" s="3" t="s">
        <v>149</v>
      </c>
      <c r="C468" s="4"/>
      <c r="D468" s="53"/>
      <c r="E468" s="53"/>
      <c r="F468" s="70"/>
      <c r="G468" s="74"/>
    </row>
    <row r="469" spans="1:7">
      <c r="A469" s="17"/>
      <c r="B469" s="27"/>
      <c r="C469" s="4"/>
      <c r="D469" s="53"/>
      <c r="E469" s="53"/>
      <c r="F469" s="70"/>
      <c r="G469" s="74"/>
    </row>
    <row r="470" spans="1:7">
      <c r="A470" s="17" t="s">
        <v>150</v>
      </c>
      <c r="B470" s="12" t="s">
        <v>151</v>
      </c>
      <c r="C470" s="4"/>
      <c r="D470" s="53"/>
      <c r="E470" s="53"/>
      <c r="F470" s="70"/>
      <c r="G470" s="74"/>
    </row>
    <row r="471" spans="1:7" ht="24">
      <c r="A471" s="17"/>
      <c r="B471" s="3" t="s">
        <v>152</v>
      </c>
      <c r="C471" s="4" t="s">
        <v>1</v>
      </c>
      <c r="D471" s="53">
        <v>1</v>
      </c>
      <c r="E471" s="53">
        <v>1</v>
      </c>
      <c r="F471" s="74">
        <v>2700</v>
      </c>
      <c r="G471" s="74">
        <f>+F471*E471</f>
        <v>2700</v>
      </c>
    </row>
    <row r="472" spans="1:7" ht="16.5" thickBot="1">
      <c r="A472" s="33"/>
      <c r="B472" s="34"/>
      <c r="C472" s="62"/>
      <c r="D472" s="63"/>
      <c r="E472" s="63"/>
      <c r="F472" s="75"/>
      <c r="G472" s="185"/>
    </row>
    <row r="473" spans="1:7" ht="16.5" thickTop="1">
      <c r="A473" s="17"/>
      <c r="B473" s="35"/>
      <c r="C473" s="8"/>
      <c r="D473" s="53"/>
      <c r="E473" s="53"/>
      <c r="F473" s="54"/>
      <c r="G473" s="186"/>
    </row>
    <row r="474" spans="1:7" ht="28.5">
      <c r="A474" s="17"/>
      <c r="B474" s="36" t="s">
        <v>153</v>
      </c>
      <c r="C474" s="8"/>
      <c r="D474" s="53"/>
      <c r="E474" s="53"/>
      <c r="F474" s="61"/>
      <c r="G474" s="77">
        <f>+SUM(G329:G472)</f>
        <v>158230.43737500001</v>
      </c>
    </row>
    <row r="475" spans="1:7">
      <c r="A475" s="17"/>
      <c r="B475" s="37"/>
      <c r="C475" s="8"/>
      <c r="D475" s="53"/>
      <c r="E475" s="53"/>
      <c r="F475" s="61"/>
      <c r="G475" s="64"/>
    </row>
    <row r="476" spans="1:7">
      <c r="A476" s="17"/>
      <c r="B476" s="37"/>
      <c r="C476" s="8"/>
      <c r="D476" s="53"/>
      <c r="E476" s="53"/>
      <c r="F476" s="61"/>
      <c r="G476" s="64"/>
    </row>
    <row r="477" spans="1:7">
      <c r="A477" s="76" t="s">
        <v>156</v>
      </c>
      <c r="B477" s="38" t="s">
        <v>154</v>
      </c>
      <c r="C477" s="8"/>
      <c r="D477" s="53"/>
      <c r="E477" s="53"/>
      <c r="F477" s="61"/>
      <c r="G477" s="78">
        <f>+G474*A477/100</f>
        <v>31646.087475</v>
      </c>
    </row>
    <row r="478" spans="1:7" ht="16.5" thickBot="1">
      <c r="A478" s="17"/>
      <c r="B478" s="37"/>
      <c r="C478" s="8"/>
      <c r="D478" s="53"/>
      <c r="E478" s="53"/>
      <c r="F478" s="61"/>
      <c r="G478" s="65"/>
    </row>
    <row r="479" spans="1:7" ht="16.5" thickTop="1">
      <c r="A479" s="17"/>
      <c r="B479" s="37"/>
      <c r="C479" s="8"/>
      <c r="D479" s="53"/>
      <c r="E479" s="53"/>
      <c r="F479" s="61"/>
      <c r="G479" s="64"/>
    </row>
    <row r="480" spans="1:7" ht="28.5">
      <c r="A480" s="17"/>
      <c r="B480" s="36" t="s">
        <v>155</v>
      </c>
      <c r="C480" s="8"/>
      <c r="D480" s="53"/>
      <c r="E480" s="53"/>
      <c r="F480" s="61"/>
      <c r="G480" s="77">
        <f>+G477+G474</f>
        <v>189876.52485000002</v>
      </c>
    </row>
    <row r="481" spans="1:7" ht="16.5" thickBot="1">
      <c r="A481" s="39"/>
      <c r="B481" s="40"/>
      <c r="C481" s="66"/>
      <c r="D481" s="67"/>
      <c r="E481" s="67"/>
      <c r="F481" s="68"/>
      <c r="G481" s="69"/>
    </row>
  </sheetData>
  <mergeCells count="6">
    <mergeCell ref="A328:G328"/>
    <mergeCell ref="A1:G1"/>
    <mergeCell ref="A4:G4"/>
    <mergeCell ref="A148:G148"/>
    <mergeCell ref="C217:E217"/>
    <mergeCell ref="C319:E31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5ce9d75-cb6e-4f41-a222-a6874c6cb87f">
      <Terms xmlns="http://schemas.microsoft.com/office/infopath/2007/PartnerControls"/>
    </lcf76f155ced4ddcb4097134ff3c332f>
    <TaxCatchAll xmlns="00019c27-c7fc-441a-9a67-9363723f62c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2711ABAF18C345AE6CB397E327ED29" ma:contentTypeVersion="17" ma:contentTypeDescription="Crée un document." ma:contentTypeScope="" ma:versionID="cd8e8cf80660e62e79796e5a1b733cdb">
  <xsd:schema xmlns:xsd="http://www.w3.org/2001/XMLSchema" xmlns:xs="http://www.w3.org/2001/XMLSchema" xmlns:p="http://schemas.microsoft.com/office/2006/metadata/properties" xmlns:ns2="65ce9d75-cb6e-4f41-a222-a6874c6cb87f" xmlns:ns3="00019c27-c7fc-441a-9a67-9363723f62c3" targetNamespace="http://schemas.microsoft.com/office/2006/metadata/properties" ma:root="true" ma:fieldsID="f7270e784d3d229c97cc17d9047dee20" ns2:_="" ns3:_="">
    <xsd:import namespace="65ce9d75-cb6e-4f41-a222-a6874c6cb87f"/>
    <xsd:import namespace="00019c27-c7fc-441a-9a67-9363723f6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ce9d75-cb6e-4f41-a222-a6874c6cb8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6b3b43af-2ba4-471a-99a1-ffaf33b89b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019c27-c7fc-441a-9a67-9363723f62c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ab47da2-1e75-4dca-b3cc-293d70dab77f}" ma:internalName="TaxCatchAll" ma:showField="CatchAllData" ma:web="00019c27-c7fc-441a-9a67-9363723f6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DFE356-6560-4D78-8112-61E205C2C6A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7A81C2-8B4C-45C6-8D1D-A443E2D8FF62}">
  <ds:schemaRefs>
    <ds:schemaRef ds:uri="http://schemas.microsoft.com/office/2006/metadata/properties"/>
    <ds:schemaRef ds:uri="http://schemas.microsoft.com/office/infopath/2007/PartnerControls"/>
    <ds:schemaRef ds:uri="65ce9d75-cb6e-4f41-a222-a6874c6cb87f"/>
    <ds:schemaRef ds:uri="00019c27-c7fc-441a-9a67-9363723f62c3"/>
  </ds:schemaRefs>
</ds:datastoreItem>
</file>

<file path=customXml/itemProps3.xml><?xml version="1.0" encoding="utf-8"?>
<ds:datastoreItem xmlns:ds="http://schemas.openxmlformats.org/officeDocument/2006/customXml" ds:itemID="{493E8A22-DF0A-4255-802E-FB1510B0EF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ce9d75-cb6e-4f41-a222-a6874c6cb87f"/>
    <ds:schemaRef ds:uri="00019c27-c7fc-441a-9a67-9363723f62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Lot N°03 MACROLOT - SECOND OEUV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</dc:creator>
  <cp:lastModifiedBy>Bertille Goudier</cp:lastModifiedBy>
  <cp:lastPrinted>2026-01-14T14:28:48Z</cp:lastPrinted>
  <dcterms:created xsi:type="dcterms:W3CDTF">2025-12-17T11:13:54Z</dcterms:created>
  <dcterms:modified xsi:type="dcterms:W3CDTF">2026-02-24T12:56:53Z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0x010100AD2711ABAF18C345AE6CB397E327ED29</vt:lpwstr>
  </property>
</Properties>
</file>