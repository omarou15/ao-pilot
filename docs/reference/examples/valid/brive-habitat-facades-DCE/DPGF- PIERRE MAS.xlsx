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ti\Documents\AO\EN COURS\Facades - Brive Habitat\"/>
    </mc:Choice>
  </mc:AlternateContent>
  <xr:revisionPtr revIDLastSave="0" documentId="13_ncr:1_{DB2F7D7B-2309-4C8C-AEE9-178E13666CDF}" xr6:coauthVersionLast="47" xr6:coauthVersionMax="47" xr10:uidLastSave="{00000000-0000-0000-0000-000000000000}"/>
  <bookViews>
    <workbookView xWindow="-28920" yWindow="-8190" windowWidth="29040" windowHeight="15720" firstSheet="4" activeTab="5" xr2:uid="{D7809AD7-E286-41DF-8241-26D105CA4302}"/>
  </bookViews>
  <sheets>
    <sheet name="MOE" sheetId="2" state="hidden" r:id="rId1"/>
    <sheet name="OPC" sheetId="4" state="hidden" r:id="rId2"/>
    <sheet name="SPS" sheetId="6" state="hidden" r:id="rId3"/>
    <sheet name="OS ETUDES" sheetId="7" state="hidden" r:id="rId4"/>
    <sheet name="ANALYSE" sheetId="8" r:id="rId5"/>
    <sheet name="DPGF SOMMAIRE" sheetId="11" r:id="rId6"/>
  </sheets>
  <definedNames>
    <definedName name="_xlnm.Print_Area" localSheetId="5">'DPGF SOMMAIRE'!$A$1:$K$29</definedName>
    <definedName name="_xlnm.Print_Area" localSheetId="0">MOE!$A$1:$J$31</definedName>
    <definedName name="_xlnm.Print_Area" localSheetId="1">OPC!$A$1:$J$27</definedName>
    <definedName name="_xlnm.Print_Area" localSheetId="2">SPS!$A$1:$J$28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1" l="1"/>
  <c r="I18" i="11"/>
  <c r="I19" i="11"/>
  <c r="I22" i="11"/>
  <c r="I23" i="11"/>
  <c r="I24" i="11"/>
  <c r="I25" i="11"/>
  <c r="I26" i="11"/>
  <c r="I27" i="11"/>
  <c r="I28" i="11"/>
  <c r="I15" i="11"/>
  <c r="B14" i="11"/>
  <c r="A28" i="8"/>
  <c r="A15" i="8"/>
  <c r="A1" i="8"/>
  <c r="B27" i="7"/>
  <c r="I29" i="11" l="1"/>
  <c r="E4" i="11" s="1"/>
  <c r="I29" i="2"/>
  <c r="I30" i="2"/>
  <c r="H23" i="6"/>
  <c r="I23" i="6" s="1"/>
  <c r="H24" i="6"/>
  <c r="J24" i="6" s="1"/>
  <c r="G28" i="6"/>
  <c r="H27" i="6"/>
  <c r="H26" i="6"/>
  <c r="H28" i="6" s="1"/>
  <c r="E4" i="6" s="1"/>
  <c r="E5" i="6" s="1"/>
  <c r="H25" i="6"/>
  <c r="H22" i="6"/>
  <c r="H21" i="6"/>
  <c r="H20" i="6"/>
  <c r="H19" i="6"/>
  <c r="H18" i="6"/>
  <c r="H17" i="6"/>
  <c r="H16" i="6"/>
  <c r="H15" i="6"/>
  <c r="B14" i="6"/>
  <c r="I13" i="6"/>
  <c r="E3" i="6"/>
  <c r="E2" i="6"/>
  <c r="I17" i="4"/>
  <c r="I21" i="4"/>
  <c r="I23" i="4"/>
  <c r="I24" i="4"/>
  <c r="I25" i="4"/>
  <c r="H23" i="4"/>
  <c r="H24" i="4"/>
  <c r="H25" i="4"/>
  <c r="H26" i="4"/>
  <c r="I26" i="4" s="1"/>
  <c r="E3" i="4"/>
  <c r="E2" i="4"/>
  <c r="G27" i="4"/>
  <c r="H22" i="4"/>
  <c r="I22" i="4" s="1"/>
  <c r="H21" i="4"/>
  <c r="H20" i="4"/>
  <c r="I20" i="4" s="1"/>
  <c r="H19" i="4"/>
  <c r="I19" i="4" s="1"/>
  <c r="H18" i="4"/>
  <c r="I18" i="4" s="1"/>
  <c r="H17" i="4"/>
  <c r="H16" i="4"/>
  <c r="I16" i="4" s="1"/>
  <c r="H15" i="4"/>
  <c r="I15" i="4" s="1"/>
  <c r="B14" i="4"/>
  <c r="I13" i="4"/>
  <c r="J24" i="4" s="1"/>
  <c r="E5" i="4"/>
  <c r="G18" i="2"/>
  <c r="F18" i="2"/>
  <c r="E18" i="2"/>
  <c r="D18" i="2"/>
  <c r="C18" i="2"/>
  <c r="G31" i="2"/>
  <c r="B31" i="2"/>
  <c r="I21" i="2"/>
  <c r="I22" i="2"/>
  <c r="I23" i="2"/>
  <c r="I24" i="2"/>
  <c r="I25" i="2"/>
  <c r="I26" i="2"/>
  <c r="I27" i="2"/>
  <c r="I28" i="2"/>
  <c r="J18" i="2"/>
  <c r="I20" i="2"/>
  <c r="G19" i="2"/>
  <c r="F19" i="2"/>
  <c r="E19" i="2"/>
  <c r="D19" i="2"/>
  <c r="C19" i="2"/>
  <c r="B19" i="2"/>
  <c r="D31" i="2"/>
  <c r="E31" i="2"/>
  <c r="F31" i="2"/>
  <c r="C31" i="2"/>
  <c r="E5" i="2"/>
  <c r="J30" i="2" l="1"/>
  <c r="J29" i="2"/>
  <c r="J23" i="6"/>
  <c r="I24" i="6"/>
  <c r="J27" i="6"/>
  <c r="J17" i="6"/>
  <c r="J21" i="6"/>
  <c r="I19" i="6"/>
  <c r="I25" i="6"/>
  <c r="J16" i="6"/>
  <c r="J20" i="6"/>
  <c r="J26" i="6"/>
  <c r="J15" i="6"/>
  <c r="I18" i="6"/>
  <c r="J19" i="6"/>
  <c r="I22" i="6"/>
  <c r="J25" i="6"/>
  <c r="I17" i="6"/>
  <c r="J18" i="6"/>
  <c r="I21" i="6"/>
  <c r="J22" i="6"/>
  <c r="I27" i="6"/>
  <c r="I16" i="6"/>
  <c r="I20" i="6"/>
  <c r="I26" i="6"/>
  <c r="I15" i="6"/>
  <c r="H27" i="4"/>
  <c r="J15" i="4"/>
  <c r="J25" i="4"/>
  <c r="J23" i="4"/>
  <c r="J26" i="4"/>
  <c r="J16" i="4"/>
  <c r="J20" i="4"/>
  <c r="J17" i="4"/>
  <c r="J21" i="4"/>
  <c r="J18" i="4"/>
  <c r="J22" i="4"/>
  <c r="I27" i="4"/>
  <c r="J19" i="4"/>
  <c r="J24" i="2"/>
  <c r="I31" i="2"/>
  <c r="H22" i="2" s="1"/>
  <c r="J27" i="2"/>
  <c r="J23" i="2"/>
  <c r="J26" i="2"/>
  <c r="J22" i="2"/>
  <c r="J25" i="2"/>
  <c r="J21" i="2"/>
  <c r="J28" i="2"/>
  <c r="J20" i="2"/>
  <c r="I28" i="6" l="1"/>
  <c r="H29" i="2"/>
  <c r="H30" i="2"/>
  <c r="J28" i="6"/>
  <c r="J27" i="4"/>
  <c r="H24" i="2"/>
  <c r="H26" i="2"/>
  <c r="H28" i="2"/>
  <c r="H23" i="2"/>
  <c r="H21" i="2"/>
  <c r="H27" i="2"/>
  <c r="H25" i="2"/>
  <c r="H20" i="2"/>
  <c r="J31" i="2"/>
  <c r="H31" i="2" l="1"/>
  <c r="J15" i="11"/>
  <c r="K15" i="11"/>
  <c r="J27" i="11"/>
  <c r="J24" i="11"/>
  <c r="K26" i="11"/>
  <c r="J26" i="11"/>
  <c r="K22" i="11"/>
  <c r="J28" i="11"/>
  <c r="J25" i="11"/>
  <c r="J19" i="11"/>
  <c r="J16" i="11"/>
  <c r="K24" i="11"/>
  <c r="K27" i="11"/>
  <c r="J22" i="11"/>
  <c r="J23" i="11"/>
  <c r="K23" i="11"/>
  <c r="K18" i="11"/>
  <c r="J18" i="11"/>
  <c r="K25" i="11"/>
  <c r="K16" i="11"/>
  <c r="K19" i="11"/>
  <c r="E6" i="11"/>
  <c r="K28" i="11"/>
  <c r="K29" i="11" l="1"/>
  <c r="J29" i="11"/>
</calcChain>
</file>

<file path=xl/sharedStrings.xml><?xml version="1.0" encoding="utf-8"?>
<sst xmlns="http://schemas.openxmlformats.org/spreadsheetml/2006/main" count="233" uniqueCount="142">
  <si>
    <t>Eléments de mission</t>
  </si>
  <si>
    <t>Total sur honoraire %</t>
  </si>
  <si>
    <t>DIAG</t>
  </si>
  <si>
    <t>APS</t>
  </si>
  <si>
    <t>APD</t>
  </si>
  <si>
    <t>PC</t>
  </si>
  <si>
    <t>PRO</t>
  </si>
  <si>
    <t>ACT</t>
  </si>
  <si>
    <t>EXE</t>
  </si>
  <si>
    <t>DET</t>
  </si>
  <si>
    <t>AOR</t>
  </si>
  <si>
    <t>TOTAL</t>
  </si>
  <si>
    <t>TVA</t>
  </si>
  <si>
    <t>Montant TTC</t>
  </si>
  <si>
    <t>Taux de rémunération :</t>
  </si>
  <si>
    <t>Coût prévisionnel des travaux :</t>
  </si>
  <si>
    <t>€ HT</t>
  </si>
  <si>
    <t xml:space="preserve">€ HT </t>
  </si>
  <si>
    <t>Cotraitant 1</t>
  </si>
  <si>
    <t>Cotraitant 2</t>
  </si>
  <si>
    <t>Cotraitant 3</t>
  </si>
  <si>
    <t>Cotraitant 4</t>
  </si>
  <si>
    <t>Cotraitant 5</t>
  </si>
  <si>
    <t>Forfait de rémunération :</t>
  </si>
  <si>
    <t xml:space="preserve">Titulaire </t>
  </si>
  <si>
    <t>Titulaire</t>
  </si>
  <si>
    <t xml:space="preserve">DENOMINATION SOCIALE </t>
  </si>
  <si>
    <t xml:space="preserve">N° SIRET </t>
  </si>
  <si>
    <t xml:space="preserve">CODE APE </t>
  </si>
  <si>
    <t xml:space="preserve">N° TVA INTRACOMMUNAUTAIRE </t>
  </si>
  <si>
    <t>ADRESSE</t>
  </si>
  <si>
    <t>Répartition par cotraitant (en euros HT)</t>
  </si>
  <si>
    <t xml:space="preserve">Montant HT  </t>
  </si>
  <si>
    <t xml:space="preserve">Taux TVA appliqué : </t>
  </si>
  <si>
    <t>Dénomination programme :</t>
  </si>
  <si>
    <t xml:space="preserve">Signature et cachet du titulaire </t>
  </si>
  <si>
    <t>A,</t>
  </si>
  <si>
    <t>Le</t>
  </si>
  <si>
    <t>Numéro de programme :</t>
  </si>
  <si>
    <t>ETUDE</t>
  </si>
  <si>
    <t>TRAVAUX</t>
  </si>
  <si>
    <t xml:space="preserve">OPR </t>
  </si>
  <si>
    <t>Montant HT</t>
  </si>
  <si>
    <t xml:space="preserve">Participation à 3 réunion minimum </t>
  </si>
  <si>
    <t>Organigramme fonctionnel</t>
  </si>
  <si>
    <t>Calendrier général de l'opération</t>
  </si>
  <si>
    <t>Calendrier détaillé TCE - plan de phasage</t>
  </si>
  <si>
    <t>Visites de chantier (1 réunion hebdomadaire)</t>
  </si>
  <si>
    <t>Visites de contrôle (1 réunion hebdo. suppl.)</t>
  </si>
  <si>
    <t>Comptes rendus visites de chantier (1/sem)</t>
  </si>
  <si>
    <t>Comptes rendus visites de contrôles (1/sem)</t>
  </si>
  <si>
    <t>Répartition par phase (en euros HT)</t>
  </si>
  <si>
    <t>CN002165</t>
  </si>
  <si>
    <t xml:space="preserve">CONCEPTION </t>
  </si>
  <si>
    <t>Prise en compte du projet : plans, documents, planning</t>
  </si>
  <si>
    <t>Elaboration du PGC</t>
  </si>
  <si>
    <t>Constitution du DIUO</t>
  </si>
  <si>
    <t>Constitution du RJC</t>
  </si>
  <si>
    <t xml:space="preserve">REALISATION </t>
  </si>
  <si>
    <t>Organisation des inspections communes des entreprises</t>
  </si>
  <si>
    <t>Examen et harmonisation des PPSPS et mise à jour du PGC</t>
  </si>
  <si>
    <t>Mise à jour documents</t>
  </si>
  <si>
    <t>Mise à jour DIUO</t>
  </si>
  <si>
    <t>OPC</t>
  </si>
  <si>
    <t>DPE</t>
  </si>
  <si>
    <t xml:space="preserve">ORDRE DE SERVICE </t>
  </si>
  <si>
    <t xml:space="preserve">Pouvoir adjudicataire : </t>
  </si>
  <si>
    <t xml:space="preserve">Titulaire du contrat : </t>
  </si>
  <si>
    <t xml:space="preserve">Pour l'opération : </t>
  </si>
  <si>
    <t>BRIVE HABITAT</t>
  </si>
  <si>
    <t xml:space="preserve">49 rue Poncelet - 19100 Brive </t>
  </si>
  <si>
    <t>SEBTP</t>
  </si>
  <si>
    <t xml:space="preserve">Objet de l'OS : </t>
  </si>
  <si>
    <t>Etudes et branchements</t>
  </si>
  <si>
    <t xml:space="preserve">16 avenue Thiers - 19100 Brive </t>
  </si>
  <si>
    <t xml:space="preserve">Maîtrise d'ouvrage </t>
  </si>
  <si>
    <t xml:space="preserve">ROUSSEAU - CONSTRUCTION DE 28 LOGEMENTS </t>
  </si>
  <si>
    <t xml:space="preserve">est invitée à exécuter les prestations du marché de réalisation-conception à compter du : </t>
  </si>
  <si>
    <t xml:space="preserve">Le, </t>
  </si>
  <si>
    <t>Visites inopinées hors réunions (5 visites)</t>
  </si>
  <si>
    <t>Participation à réunion technique de coordination (1 réunion)</t>
  </si>
  <si>
    <t>Participation aux réunions techniques de chantier (20 réunions)</t>
  </si>
  <si>
    <t>Déclaration préalable, documents administratifs : aide à la rédaction</t>
  </si>
  <si>
    <t>Participations aux réunions de préparation (1 réunion)</t>
  </si>
  <si>
    <t xml:space="preserve">Maîtrise d'œuvre </t>
  </si>
  <si>
    <t>Destinataires</t>
  </si>
  <si>
    <t xml:space="preserve">Retour le </t>
  </si>
  <si>
    <t>Montant proposé (en € HT)</t>
  </si>
  <si>
    <t xml:space="preserve">SOCOTEC </t>
  </si>
  <si>
    <t xml:space="preserve">patrice.massebeuf@socotec.com </t>
  </si>
  <si>
    <t>SOCOTEC</t>
  </si>
  <si>
    <t>Date butoir : 29 janvier 2024</t>
  </si>
  <si>
    <t xml:space="preserve">ALPES CONTROLES </t>
  </si>
  <si>
    <t>fsousquieres@alpes-controles.fr</t>
  </si>
  <si>
    <t>APAVE</t>
  </si>
  <si>
    <t>jerome.croizet@apave.com</t>
  </si>
  <si>
    <t xml:space="preserve">Il est proposé d'attribuer la mission CSPS à : </t>
  </si>
  <si>
    <t>Vendredi 5 janvier - Envoi par mail de demande de prix pour la mission d'Ordonnancement, le Pilotage et la Coordination</t>
  </si>
  <si>
    <t xml:space="preserve">OURAL </t>
  </si>
  <si>
    <t>contact@oural-architectes.com</t>
  </si>
  <si>
    <t xml:space="preserve">COPILOT </t>
  </si>
  <si>
    <t>fred.lavaire@copilot19.fr</t>
  </si>
  <si>
    <t>DEJANTE</t>
  </si>
  <si>
    <t>contact1@dejante-infra.com</t>
  </si>
  <si>
    <t xml:space="preserve">pas de réponse </t>
  </si>
  <si>
    <t>-</t>
  </si>
  <si>
    <t xml:space="preserve">ODETEC </t>
  </si>
  <si>
    <t>concours@odetec.fr</t>
  </si>
  <si>
    <t xml:space="preserve">Il est proposé d'attribuer la mission OPC à : </t>
  </si>
  <si>
    <t xml:space="preserve">- Envoi par mail de demande de prix pour la mission de Contrôle Technique à : </t>
  </si>
  <si>
    <t xml:space="preserve"> - Date butoir </t>
  </si>
  <si>
    <t>CSPS</t>
  </si>
  <si>
    <t>RC002170</t>
  </si>
  <si>
    <t>17 RUE DU VIALMUR - POMPES A CHALEUR</t>
  </si>
  <si>
    <t>Montant du DPGF :</t>
  </si>
  <si>
    <t>Taux TVA appliqué :</t>
  </si>
  <si>
    <t xml:space="preserve">DELCAMBRE </t>
  </si>
  <si>
    <t xml:space="preserve"> Envoi par mail de demande de prix pour la mission</t>
  </si>
  <si>
    <t xml:space="preserve">FTS </t>
  </si>
  <si>
    <t xml:space="preserve">pas de retour </t>
  </si>
  <si>
    <t xml:space="preserve">CLIM ENERGIE </t>
  </si>
  <si>
    <t xml:space="preserve">Il est proposé d'attribuer la mission à : </t>
  </si>
  <si>
    <t>contact@fts-faugeras.fr</t>
  </si>
  <si>
    <t>accueil@sasclimenergie.fr</t>
  </si>
  <si>
    <t>secretariat@delcambre.fr</t>
  </si>
  <si>
    <t>* prix de base : diagnostic pompes et déplacement 13 unités extérieures</t>
  </si>
  <si>
    <t>Base* : 16 871,25 € HT</t>
  </si>
  <si>
    <t>RC002173</t>
  </si>
  <si>
    <t xml:space="preserve">PIERRE MAS - FACADES </t>
  </si>
  <si>
    <t xml:space="preserve">Nacelles - Echafaudage - Plateformes - Protections collectives </t>
  </si>
  <si>
    <t>FACADES</t>
  </si>
  <si>
    <t xml:space="preserve">PROTECTIONS </t>
  </si>
  <si>
    <t>1540,49 m²</t>
  </si>
  <si>
    <t xml:space="preserve">Superficie des facades (panneaux et bardages bois) </t>
  </si>
  <si>
    <t xml:space="preserve">GARDE-CORPS </t>
  </si>
  <si>
    <t>165,15 ml</t>
  </si>
  <si>
    <t xml:space="preserve">Protections collectives - approvisionnements </t>
  </si>
  <si>
    <t xml:space="preserve">OPTION </t>
  </si>
  <si>
    <t xml:space="preserve">Lasurage du local poubelle </t>
  </si>
  <si>
    <t>Peinture des gardes-corps y compris toutes sujétions de mise en œuvre</t>
  </si>
  <si>
    <t xml:space="preserve">Nettoyage des panneaux stratifiées par lavage haute pression et traitement biocide (assurant la perennité des travaux)  </t>
  </si>
  <si>
    <t xml:space="preserve">Nettoyage et lasurage des volets en bois et du bardage bois y compris toutes sujétions de mise en œuvre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</si>
</sst>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Georgia"/>
      <family val="1"/>
    </font>
    <font>
      <sz val="12"/>
      <color rgb="FF000000"/>
      <name val="Georgia"/>
      <family val="1"/>
    </font>
    <font>
      <b/>
      <i/>
      <sz val="12"/>
      <color rgb="FF000000"/>
      <name val="Georgia"/>
      <family val="1"/>
    </font>
    <font>
      <b/>
      <sz val="12"/>
      <color rgb="FF000000"/>
      <name val="Georgia"/>
      <family val="1"/>
    </font>
    <font>
      <sz val="10"/>
      <color rgb="FF000000"/>
      <name val="Georgia"/>
      <family val="1"/>
    </font>
    <font>
      <sz val="10"/>
      <color theme="1"/>
      <name val="Georgia"/>
      <family val="1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Georgia"/>
      <family val="1"/>
    </font>
    <font>
      <sz val="11"/>
      <color theme="1"/>
      <name val="Georgia"/>
      <family val="1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C00000"/>
      <name val="Georgia"/>
      <family val="1"/>
    </font>
    <font>
      <u/>
      <sz val="11"/>
      <color theme="10"/>
      <name val="Georgia"/>
      <family val="1"/>
    </font>
    <font>
      <i/>
      <sz val="12"/>
      <color rgb="FF000000"/>
      <name val="Georgia"/>
      <family val="1"/>
    </font>
    <font>
      <i/>
      <sz val="11"/>
      <color theme="1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8" fillId="0" borderId="0" xfId="0" applyFont="1"/>
    <xf numFmtId="3" fontId="8" fillId="0" borderId="0" xfId="0" applyNumberFormat="1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43" fontId="2" fillId="2" borderId="8" xfId="1" applyFont="1" applyFill="1" applyBorder="1" applyAlignment="1">
      <alignment vertical="center" wrapText="1"/>
    </xf>
    <xf numFmtId="43" fontId="2" fillId="2" borderId="9" xfId="1" applyFont="1" applyFill="1" applyBorder="1" applyAlignment="1">
      <alignment vertical="center" wrapText="1"/>
    </xf>
    <xf numFmtId="43" fontId="2" fillId="2" borderId="1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3" fontId="11" fillId="4" borderId="6" xfId="1" applyFont="1" applyFill="1" applyBorder="1" applyAlignment="1">
      <alignment vertical="center" wrapText="1"/>
    </xf>
    <xf numFmtId="43" fontId="3" fillId="4" borderId="1" xfId="1" applyFont="1" applyFill="1" applyBorder="1" applyAlignment="1">
      <alignment horizontal="center" vertical="center" wrapText="1"/>
    </xf>
    <xf numFmtId="43" fontId="3" fillId="4" borderId="7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 wrapText="1"/>
    </xf>
    <xf numFmtId="43" fontId="11" fillId="3" borderId="13" xfId="1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164" fontId="11" fillId="3" borderId="6" xfId="2" applyNumberFormat="1" applyFont="1" applyFill="1" applyBorder="1" applyAlignment="1">
      <alignment vertical="center" wrapText="1"/>
    </xf>
    <xf numFmtId="0" fontId="11" fillId="3" borderId="7" xfId="0" applyFont="1" applyFill="1" applyBorder="1" applyAlignment="1">
      <alignment vertical="center" wrapText="1"/>
    </xf>
    <xf numFmtId="10" fontId="10" fillId="3" borderId="8" xfId="0" applyNumberFormat="1" applyFont="1" applyFill="1" applyBorder="1" applyAlignment="1">
      <alignment horizontal="center" vertical="center" wrapText="1"/>
    </xf>
    <xf numFmtId="43" fontId="11" fillId="3" borderId="10" xfId="1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3" borderId="4" xfId="0" applyFill="1" applyBorder="1"/>
    <xf numFmtId="9" fontId="2" fillId="3" borderId="0" xfId="2" applyFont="1" applyFill="1" applyAlignment="1">
      <alignment vertical="center"/>
    </xf>
    <xf numFmtId="0" fontId="0" fillId="0" borderId="26" xfId="0" applyBorder="1"/>
    <xf numFmtId="0" fontId="0" fillId="0" borderId="27" xfId="0" applyBorder="1"/>
    <xf numFmtId="0" fontId="0" fillId="0" borderId="15" xfId="0" applyBorder="1"/>
    <xf numFmtId="0" fontId="0" fillId="0" borderId="28" xfId="0" applyBorder="1"/>
    <xf numFmtId="0" fontId="6" fillId="4" borderId="2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/>
    <xf numFmtId="164" fontId="11" fillId="3" borderId="7" xfId="1" applyNumberFormat="1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vertical="center"/>
      <protection locked="0"/>
    </xf>
    <xf numFmtId="3" fontId="2" fillId="0" borderId="0" xfId="0" applyNumberFormat="1" applyFont="1" applyAlignment="1" applyProtection="1">
      <alignment vertical="center"/>
      <protection locked="0"/>
    </xf>
    <xf numFmtId="164" fontId="2" fillId="0" borderId="0" xfId="2" applyNumberFormat="1" applyFont="1" applyAlignment="1" applyProtection="1">
      <alignment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165" fontId="6" fillId="0" borderId="14" xfId="1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30" xfId="0" applyFont="1" applyBorder="1" applyAlignment="1" applyProtection="1">
      <alignment vertical="center" wrapText="1"/>
      <protection locked="0"/>
    </xf>
    <xf numFmtId="0" fontId="3" fillId="4" borderId="2" xfId="0" applyFont="1" applyFill="1" applyBorder="1" applyAlignment="1">
      <alignment horizontal="center" vertical="center" wrapText="1"/>
    </xf>
    <xf numFmtId="43" fontId="3" fillId="4" borderId="2" xfId="1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right" vertical="center"/>
    </xf>
    <xf numFmtId="0" fontId="6" fillId="0" borderId="36" xfId="0" applyFont="1" applyBorder="1" applyAlignment="1" applyProtection="1">
      <alignment horizontal="center" vertical="center"/>
      <protection locked="0"/>
    </xf>
    <xf numFmtId="165" fontId="6" fillId="0" borderId="36" xfId="1" applyNumberFormat="1" applyFont="1" applyBorder="1" applyAlignment="1" applyProtection="1">
      <alignment horizontal="center" vertical="center"/>
      <protection locked="0"/>
    </xf>
    <xf numFmtId="43" fontId="10" fillId="3" borderId="8" xfId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/>
    </xf>
    <xf numFmtId="43" fontId="2" fillId="2" borderId="10" xfId="1" applyFont="1" applyFill="1" applyBorder="1" applyAlignment="1" applyProtection="1">
      <alignment vertical="center" wrapText="1"/>
      <protection locked="0"/>
    </xf>
    <xf numFmtId="164" fontId="11" fillId="3" borderId="1" xfId="1" applyNumberFormat="1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vertical="center" wrapText="1"/>
    </xf>
    <xf numFmtId="0" fontId="11" fillId="3" borderId="14" xfId="0" applyFont="1" applyFill="1" applyBorder="1" applyAlignment="1">
      <alignment vertical="center"/>
    </xf>
    <xf numFmtId="0" fontId="11" fillId="3" borderId="20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3" fillId="3" borderId="7" xfId="0" applyFont="1" applyFill="1" applyBorder="1"/>
    <xf numFmtId="0" fontId="10" fillId="3" borderId="8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11" fillId="3" borderId="10" xfId="0" applyFont="1" applyFill="1" applyBorder="1" applyAlignment="1">
      <alignment horizontal="center" vertical="center"/>
    </xf>
    <xf numFmtId="4" fontId="2" fillId="0" borderId="0" xfId="0" applyNumberFormat="1" applyFont="1" applyAlignment="1" applyProtection="1">
      <alignment vertical="center"/>
      <protection locked="0"/>
    </xf>
    <xf numFmtId="0" fontId="11" fillId="0" borderId="0" xfId="0" applyFont="1"/>
    <xf numFmtId="0" fontId="11" fillId="0" borderId="26" xfId="0" applyFont="1" applyBorder="1"/>
    <xf numFmtId="0" fontId="11" fillId="0" borderId="27" xfId="0" applyFont="1" applyBorder="1"/>
    <xf numFmtId="0" fontId="11" fillId="0" borderId="15" xfId="0" applyFont="1" applyBorder="1"/>
    <xf numFmtId="0" fontId="11" fillId="0" borderId="28" xfId="0" applyFont="1" applyBorder="1"/>
    <xf numFmtId="0" fontId="11" fillId="5" borderId="0" xfId="0" applyFont="1" applyFill="1"/>
    <xf numFmtId="0" fontId="11" fillId="0" borderId="0" xfId="0" applyFont="1" applyAlignment="1">
      <alignment horizontal="left" vertical="center" wrapText="1"/>
    </xf>
    <xf numFmtId="43" fontId="2" fillId="0" borderId="0" xfId="0" applyNumberFormat="1" applyFont="1" applyAlignment="1" applyProtection="1">
      <alignment vertical="center"/>
      <protection locked="0"/>
    </xf>
    <xf numFmtId="10" fontId="2" fillId="3" borderId="0" xfId="2" applyNumberFormat="1" applyFont="1" applyFill="1" applyAlignment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43" fontId="2" fillId="2" borderId="32" xfId="1" applyFont="1" applyFill="1" applyBorder="1" applyAlignment="1" applyProtection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right" vertical="center" wrapText="1"/>
    </xf>
    <xf numFmtId="0" fontId="15" fillId="0" borderId="38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43" fontId="11" fillId="0" borderId="42" xfId="1" applyFont="1" applyBorder="1" applyAlignment="1">
      <alignment horizontal="left" vertical="center"/>
    </xf>
    <xf numFmtId="0" fontId="16" fillId="0" borderId="0" xfId="3" applyFont="1" applyBorder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/>
    </xf>
    <xf numFmtId="43" fontId="11" fillId="0" borderId="45" xfId="1" applyFont="1" applyBorder="1" applyAlignment="1">
      <alignment horizontal="left" vertical="center"/>
    </xf>
    <xf numFmtId="43" fontId="11" fillId="0" borderId="0" xfId="1" applyFont="1" applyBorder="1" applyAlignment="1">
      <alignment horizontal="left" vertical="center"/>
    </xf>
    <xf numFmtId="43" fontId="11" fillId="0" borderId="0" xfId="1" applyFont="1" applyAlignment="1">
      <alignment horizontal="left" vertical="center"/>
    </xf>
    <xf numFmtId="43" fontId="15" fillId="0" borderId="40" xfId="1" applyFont="1" applyBorder="1" applyAlignment="1">
      <alignment horizontal="left" vertical="center"/>
    </xf>
    <xf numFmtId="14" fontId="11" fillId="0" borderId="41" xfId="0" applyNumberFormat="1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0" fillId="3" borderId="40" xfId="0" applyFill="1" applyBorder="1"/>
    <xf numFmtId="43" fontId="11" fillId="3" borderId="32" xfId="1" applyFont="1" applyFill="1" applyBorder="1" applyAlignment="1">
      <alignment vertical="center" wrapText="1"/>
    </xf>
    <xf numFmtId="0" fontId="3" fillId="4" borderId="46" xfId="0" applyFont="1" applyFill="1" applyBorder="1" applyAlignment="1">
      <alignment horizontal="center" vertical="center" wrapText="1"/>
    </xf>
    <xf numFmtId="43" fontId="2" fillId="2" borderId="9" xfId="1" applyFont="1" applyFill="1" applyBorder="1" applyAlignment="1" applyProtection="1">
      <alignment vertical="center" wrapText="1"/>
      <protection locked="0"/>
    </xf>
    <xf numFmtId="43" fontId="11" fillId="4" borderId="32" xfId="1" applyFont="1" applyFill="1" applyBorder="1" applyAlignment="1">
      <alignment horizontal="center" vertical="center" wrapText="1"/>
    </xf>
    <xf numFmtId="43" fontId="3" fillId="4" borderId="13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right" vertical="center" wrapText="1"/>
    </xf>
    <xf numFmtId="43" fontId="11" fillId="3" borderId="46" xfId="1" applyFont="1" applyFill="1" applyBorder="1" applyAlignment="1">
      <alignment vertical="center" wrapText="1"/>
    </xf>
    <xf numFmtId="43" fontId="11" fillId="3" borderId="4" xfId="1" applyFont="1" applyFill="1" applyBorder="1" applyAlignment="1">
      <alignment vertical="center"/>
    </xf>
    <xf numFmtId="43" fontId="11" fillId="3" borderId="5" xfId="1" applyFont="1" applyFill="1" applyBorder="1" applyAlignment="1">
      <alignment vertical="center" wrapText="1"/>
    </xf>
    <xf numFmtId="43" fontId="11" fillId="3" borderId="11" xfId="1" applyFont="1" applyFill="1" applyBorder="1" applyAlignment="1">
      <alignment vertical="center" wrapText="1"/>
    </xf>
    <xf numFmtId="43" fontId="11" fillId="3" borderId="1" xfId="1" applyFont="1" applyFill="1" applyBorder="1" applyAlignment="1">
      <alignment vertical="center"/>
    </xf>
    <xf numFmtId="43" fontId="11" fillId="3" borderId="7" xfId="1" applyFont="1" applyFill="1" applyBorder="1" applyAlignment="1">
      <alignment vertical="center" wrapText="1"/>
    </xf>
    <xf numFmtId="43" fontId="2" fillId="0" borderId="4" xfId="1" applyFont="1" applyBorder="1" applyAlignment="1" applyProtection="1">
      <alignment vertical="center" wrapText="1"/>
      <protection locked="0"/>
    </xf>
    <xf numFmtId="43" fontId="2" fillId="0" borderId="1" xfId="1" applyFont="1" applyBorder="1" applyAlignment="1" applyProtection="1">
      <alignment vertical="center" wrapText="1"/>
      <protection locked="0"/>
    </xf>
    <xf numFmtId="43" fontId="2" fillId="0" borderId="0" xfId="1" applyFont="1" applyAlignment="1" applyProtection="1">
      <alignment vertical="center"/>
      <protection locked="0"/>
    </xf>
    <xf numFmtId="164" fontId="2" fillId="0" borderId="0" xfId="2" applyNumberFormat="1" applyFont="1" applyAlignment="1" applyProtection="1">
      <alignment vertical="center"/>
    </xf>
    <xf numFmtId="164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29" xfId="0" applyFont="1" applyBorder="1" applyAlignment="1" applyProtection="1">
      <alignment horizontal="right" vertical="center" wrapText="1"/>
      <protection locked="0"/>
    </xf>
    <xf numFmtId="0" fontId="14" fillId="0" borderId="0" xfId="3" applyBorder="1" applyAlignment="1">
      <alignment horizontal="left" vertical="center"/>
    </xf>
    <xf numFmtId="0" fontId="14" fillId="0" borderId="0" xfId="3" applyBorder="1" applyAlignment="1">
      <alignment horizontal="left" vertical="center" wrapText="1"/>
    </xf>
    <xf numFmtId="0" fontId="17" fillId="0" borderId="17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right" vertical="center" wrapText="1"/>
    </xf>
    <xf numFmtId="0" fontId="18" fillId="0" borderId="29" xfId="0" applyFont="1" applyBorder="1" applyAlignment="1" applyProtection="1">
      <alignment horizontal="right" vertical="center" wrapText="1"/>
      <protection locked="0"/>
    </xf>
    <xf numFmtId="43" fontId="2" fillId="2" borderId="18" xfId="1" applyFont="1" applyFill="1" applyBorder="1" applyAlignment="1" applyProtection="1">
      <alignment horizontal="center" vertical="center" wrapText="1"/>
    </xf>
    <xf numFmtId="43" fontId="2" fillId="2" borderId="32" xfId="1" applyFont="1" applyFill="1" applyBorder="1" applyAlignment="1" applyProtection="1">
      <alignment horizontal="center" vertical="center" wrapText="1"/>
    </xf>
    <xf numFmtId="43" fontId="2" fillId="2" borderId="33" xfId="1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 applyProtection="1">
      <alignment horizontal="right" vertical="center" wrapText="1"/>
      <protection locked="0"/>
    </xf>
    <xf numFmtId="0" fontId="11" fillId="0" borderId="29" xfId="0" applyFont="1" applyBorder="1" applyAlignment="1" applyProtection="1">
      <alignment horizontal="right" vertical="center" wrapText="1"/>
      <protection locked="0"/>
    </xf>
    <xf numFmtId="0" fontId="11" fillId="0" borderId="31" xfId="0" applyFont="1" applyBorder="1" applyAlignment="1" applyProtection="1">
      <alignment horizontal="right" vertical="center" wrapText="1"/>
      <protection locked="0"/>
    </xf>
    <xf numFmtId="0" fontId="18" fillId="0" borderId="2" xfId="0" applyFont="1" applyBorder="1" applyAlignment="1" applyProtection="1">
      <alignment horizontal="right" vertical="center" wrapText="1"/>
      <protection locked="0"/>
    </xf>
    <xf numFmtId="0" fontId="18" fillId="0" borderId="29" xfId="0" applyFont="1" applyBorder="1" applyAlignment="1" applyProtection="1">
      <alignment horizontal="right" vertical="center" wrapText="1"/>
      <protection locked="0"/>
    </xf>
    <xf numFmtId="0" fontId="18" fillId="0" borderId="31" xfId="0" applyFont="1" applyBorder="1" applyAlignment="1" applyProtection="1">
      <alignment horizontal="right" vertical="center" wrapText="1"/>
      <protection locked="0"/>
    </xf>
    <xf numFmtId="0" fontId="11" fillId="0" borderId="2" xfId="0" applyFont="1" applyBorder="1" applyAlignment="1">
      <alignment horizontal="right" vertical="center" wrapText="1"/>
    </xf>
    <xf numFmtId="0" fontId="11" fillId="0" borderId="29" xfId="0" applyFont="1" applyBorder="1" applyAlignment="1">
      <alignment horizontal="right" vertical="center" wrapText="1"/>
    </xf>
    <xf numFmtId="0" fontId="11" fillId="0" borderId="31" xfId="0" applyFont="1" applyBorder="1" applyAlignment="1">
      <alignment horizontal="right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43" fontId="11" fillId="4" borderId="18" xfId="1" applyFont="1" applyFill="1" applyBorder="1" applyAlignment="1">
      <alignment horizontal="center" vertical="center" wrapText="1"/>
    </xf>
    <xf numFmtId="43" fontId="11" fillId="4" borderId="32" xfId="1" applyFont="1" applyFill="1" applyBorder="1" applyAlignment="1">
      <alignment horizontal="center" vertical="center" wrapText="1"/>
    </xf>
    <xf numFmtId="43" fontId="11" fillId="4" borderId="33" xfId="1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right" vertical="center" wrapText="1"/>
    </xf>
    <xf numFmtId="0" fontId="11" fillId="0" borderId="46" xfId="0" applyFont="1" applyBorder="1" applyAlignment="1">
      <alignment horizontal="right" vertical="center" wrapText="1"/>
    </xf>
    <xf numFmtId="0" fontId="11" fillId="0" borderId="47" xfId="0" applyFont="1" applyBorder="1" applyAlignment="1">
      <alignment horizontal="righ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7" fillId="4" borderId="49" xfId="0" applyFont="1" applyFill="1" applyBorder="1" applyAlignment="1">
      <alignment horizontal="center"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12" fillId="0" borderId="48" xfId="0" applyFont="1" applyBorder="1" applyAlignment="1" applyProtection="1">
      <alignment horizontal="center"/>
      <protection locked="0"/>
    </xf>
    <xf numFmtId="0" fontId="12" fillId="0" borderId="44" xfId="0" applyFont="1" applyBorder="1" applyAlignment="1" applyProtection="1">
      <alignment horizontal="center"/>
      <protection locked="0"/>
    </xf>
    <xf numFmtId="0" fontId="12" fillId="0" borderId="45" xfId="0" applyFont="1" applyBorder="1" applyAlignment="1" applyProtection="1">
      <alignment horizontal="center"/>
      <protection locked="0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22" xfId="0" applyFont="1" applyFill="1" applyBorder="1" applyAlignment="1">
      <alignment horizontal="center" vertical="center" wrapText="1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7" xfId="0" applyFont="1" applyBorder="1" applyAlignment="1" applyProtection="1">
      <alignment horizontal="center"/>
      <protection locked="0"/>
    </xf>
    <xf numFmtId="0" fontId="12" fillId="0" borderId="9" xfId="0" applyFont="1" applyBorder="1" applyAlignment="1" applyProtection="1">
      <alignment horizontal="center"/>
      <protection locked="0"/>
    </xf>
    <xf numFmtId="0" fontId="12" fillId="0" borderId="10" xfId="0" applyFont="1" applyBorder="1" applyAlignment="1" applyProtection="1">
      <alignment horizontal="center"/>
      <protection locked="0"/>
    </xf>
    <xf numFmtId="0" fontId="0" fillId="0" borderId="27" xfId="0" applyBorder="1" applyAlignment="1">
      <alignment horizontal="center" vertical="center"/>
    </xf>
    <xf numFmtId="0" fontId="12" fillId="0" borderId="14" xfId="0" applyFont="1" applyBorder="1" applyAlignment="1" applyProtection="1">
      <alignment horizontal="center"/>
      <protection locked="0"/>
    </xf>
    <xf numFmtId="0" fontId="12" fillId="0" borderId="20" xfId="0" applyFont="1" applyBorder="1" applyAlignment="1" applyProtection="1">
      <alignment horizontal="center"/>
      <protection locked="0"/>
    </xf>
    <xf numFmtId="0" fontId="7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0" fontId="2" fillId="0" borderId="29" xfId="0" applyFont="1" applyBorder="1" applyAlignment="1">
      <alignment horizontal="right" vertical="center" wrapText="1"/>
    </xf>
    <xf numFmtId="0" fontId="2" fillId="0" borderId="31" xfId="0" applyFont="1" applyBorder="1" applyAlignment="1">
      <alignment horizontal="right" vertical="center" wrapText="1"/>
    </xf>
    <xf numFmtId="43" fontId="11" fillId="4" borderId="17" xfId="1" applyFont="1" applyFill="1" applyBorder="1" applyAlignment="1">
      <alignment horizontal="center" vertical="center" wrapText="1"/>
    </xf>
    <xf numFmtId="43" fontId="11" fillId="4" borderId="29" xfId="1" applyFont="1" applyFill="1" applyBorder="1" applyAlignment="1">
      <alignment horizontal="center" vertical="center" wrapText="1"/>
    </xf>
    <xf numFmtId="43" fontId="11" fillId="4" borderId="31" xfId="1" applyFont="1" applyFill="1" applyBorder="1" applyAlignment="1">
      <alignment horizontal="center" vertical="center" wrapText="1"/>
    </xf>
    <xf numFmtId="0" fontId="12" fillId="0" borderId="36" xfId="0" applyFont="1" applyBorder="1" applyAlignment="1" applyProtection="1">
      <alignment horizontal="center"/>
      <protection locked="0"/>
    </xf>
    <xf numFmtId="0" fontId="12" fillId="0" borderId="37" xfId="0" applyFont="1" applyBorder="1" applyAlignment="1" applyProtection="1">
      <alignment horizontal="center"/>
      <protection locked="0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fts-faugeras.fr" TargetMode="External"/><Relationship Id="rId3" Type="http://schemas.openxmlformats.org/officeDocument/2006/relationships/hyperlink" Target="mailto:fred.lavaire@copilot19.fr" TargetMode="External"/><Relationship Id="rId7" Type="http://schemas.openxmlformats.org/officeDocument/2006/relationships/hyperlink" Target="mailto:jerome.croizet@apave.com" TargetMode="External"/><Relationship Id="rId2" Type="http://schemas.openxmlformats.org/officeDocument/2006/relationships/hyperlink" Target="mailto:contact1@dejante-infra.com" TargetMode="External"/><Relationship Id="rId1" Type="http://schemas.openxmlformats.org/officeDocument/2006/relationships/hyperlink" Target="mailto:concours@odetec.fr" TargetMode="External"/><Relationship Id="rId6" Type="http://schemas.openxmlformats.org/officeDocument/2006/relationships/hyperlink" Target="mailto:patrice.massebeuf@socotec.com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fsousquieres@alpes-controles.fr" TargetMode="External"/><Relationship Id="rId10" Type="http://schemas.openxmlformats.org/officeDocument/2006/relationships/hyperlink" Target="mailto:secretariat@delcambre.fr" TargetMode="External"/><Relationship Id="rId4" Type="http://schemas.openxmlformats.org/officeDocument/2006/relationships/hyperlink" Target="mailto:contact@oural-architectes.com" TargetMode="External"/><Relationship Id="rId9" Type="http://schemas.openxmlformats.org/officeDocument/2006/relationships/hyperlink" Target="mailto:accueil@sasclimenergie.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EFBF-FBD9-439C-9311-B7E4E3948A18}">
  <dimension ref="A1:J36"/>
  <sheetViews>
    <sheetView view="pageBreakPreview" topLeftCell="A7" zoomScale="90" zoomScaleNormal="100" zoomScaleSheetLayoutView="90" workbookViewId="0">
      <selection activeCell="F7" sqref="F7"/>
    </sheetView>
  </sheetViews>
  <sheetFormatPr baseColWidth="10" defaultRowHeight="15" x14ac:dyDescent="0.25"/>
  <cols>
    <col min="1" max="2" width="17" customWidth="1"/>
    <col min="3" max="7" width="21.28515625" customWidth="1"/>
    <col min="8" max="11" width="17" customWidth="1"/>
  </cols>
  <sheetData>
    <row r="1" spans="1:10" x14ac:dyDescent="0.25">
      <c r="A1" s="1"/>
    </row>
    <row r="2" spans="1:10" ht="23.25" customHeight="1" x14ac:dyDescent="0.25">
      <c r="A2" s="1"/>
      <c r="D2" s="18" t="s">
        <v>38</v>
      </c>
      <c r="E2" s="1" t="s">
        <v>112</v>
      </c>
      <c r="H2" s="41" t="s">
        <v>36</v>
      </c>
      <c r="I2" s="43"/>
      <c r="J2" s="42" t="s">
        <v>37</v>
      </c>
    </row>
    <row r="3" spans="1:10" ht="23.25" customHeight="1" x14ac:dyDescent="0.25">
      <c r="A3" s="1"/>
      <c r="D3" s="18" t="s">
        <v>34</v>
      </c>
      <c r="E3" s="1" t="s">
        <v>113</v>
      </c>
      <c r="H3" s="166" t="s">
        <v>35</v>
      </c>
      <c r="I3" s="167"/>
      <c r="J3" s="180"/>
    </row>
    <row r="4" spans="1:10" ht="23.25" customHeight="1" x14ac:dyDescent="0.25">
      <c r="B4" s="17"/>
      <c r="C4" s="17"/>
      <c r="D4" s="4" t="s">
        <v>23</v>
      </c>
      <c r="E4" s="46"/>
      <c r="F4" s="1" t="s">
        <v>17</v>
      </c>
      <c r="H4" s="35"/>
      <c r="J4" s="36"/>
    </row>
    <row r="5" spans="1:10" ht="23.25" customHeight="1" x14ac:dyDescent="0.25">
      <c r="B5" s="17"/>
      <c r="C5" s="17"/>
      <c r="D5" s="4" t="s">
        <v>14</v>
      </c>
      <c r="E5" s="34" t="e">
        <f>+E4/E6</f>
        <v>#DIV/0!</v>
      </c>
      <c r="F5" s="1"/>
      <c r="H5" s="35"/>
      <c r="J5" s="36"/>
    </row>
    <row r="6" spans="1:10" ht="23.25" customHeight="1" x14ac:dyDescent="0.25">
      <c r="B6" s="17"/>
      <c r="C6" s="17"/>
      <c r="D6" s="4" t="s">
        <v>15</v>
      </c>
      <c r="E6" s="47"/>
      <c r="F6" s="1" t="s">
        <v>16</v>
      </c>
      <c r="H6" s="35"/>
      <c r="J6" s="36"/>
    </row>
    <row r="7" spans="1:10" ht="23.25" customHeight="1" x14ac:dyDescent="0.25">
      <c r="B7" s="17"/>
      <c r="C7" s="17"/>
      <c r="D7" s="4" t="s">
        <v>33</v>
      </c>
      <c r="E7" s="48">
        <v>0</v>
      </c>
      <c r="F7" s="1"/>
      <c r="H7" s="37"/>
      <c r="I7" s="44"/>
      <c r="J7" s="38"/>
    </row>
    <row r="8" spans="1:10" ht="18.75" customHeight="1" thickBot="1" x14ac:dyDescent="0.3">
      <c r="A8" s="4"/>
      <c r="B8" s="4"/>
      <c r="C8" s="4"/>
      <c r="D8" s="4"/>
      <c r="E8" s="4"/>
      <c r="F8" s="4"/>
      <c r="G8" s="4"/>
      <c r="H8" s="6"/>
      <c r="I8" s="5"/>
    </row>
    <row r="9" spans="1:10" s="13" customFormat="1" ht="37.5" customHeight="1" thickBot="1" x14ac:dyDescent="0.3">
      <c r="A9" s="39"/>
      <c r="B9" s="168" t="s">
        <v>26</v>
      </c>
      <c r="C9" s="168"/>
      <c r="D9" s="40" t="s">
        <v>27</v>
      </c>
      <c r="E9" s="40" t="s">
        <v>28</v>
      </c>
      <c r="F9" s="168" t="s">
        <v>29</v>
      </c>
      <c r="G9" s="168"/>
      <c r="H9" s="183" t="s">
        <v>30</v>
      </c>
      <c r="I9" s="183"/>
      <c r="J9" s="184"/>
    </row>
    <row r="10" spans="1:10" ht="21" customHeight="1" x14ac:dyDescent="0.25">
      <c r="A10" s="21" t="s">
        <v>25</v>
      </c>
      <c r="B10" s="174"/>
      <c r="C10" s="174"/>
      <c r="D10" s="50"/>
      <c r="E10" s="49"/>
      <c r="F10" s="174"/>
      <c r="G10" s="174"/>
      <c r="H10" s="181"/>
      <c r="I10" s="181"/>
      <c r="J10" s="182"/>
    </row>
    <row r="11" spans="1:10" ht="21" customHeight="1" x14ac:dyDescent="0.25">
      <c r="A11" s="19" t="s">
        <v>18</v>
      </c>
      <c r="B11" s="170"/>
      <c r="C11" s="170"/>
      <c r="D11" s="51"/>
      <c r="E11" s="51"/>
      <c r="F11" s="170"/>
      <c r="G11" s="170"/>
      <c r="H11" s="176"/>
      <c r="I11" s="176"/>
      <c r="J11" s="177"/>
    </row>
    <row r="12" spans="1:10" ht="21" customHeight="1" x14ac:dyDescent="0.25">
      <c r="A12" s="19" t="s">
        <v>19</v>
      </c>
      <c r="B12" s="170"/>
      <c r="C12" s="170"/>
      <c r="D12" s="51"/>
      <c r="E12" s="51"/>
      <c r="F12" s="170"/>
      <c r="G12" s="170"/>
      <c r="H12" s="176"/>
      <c r="I12" s="176"/>
      <c r="J12" s="177"/>
    </row>
    <row r="13" spans="1:10" ht="21" customHeight="1" x14ac:dyDescent="0.25">
      <c r="A13" s="19" t="s">
        <v>20</v>
      </c>
      <c r="B13" s="170"/>
      <c r="C13" s="170"/>
      <c r="D13" s="51"/>
      <c r="E13" s="51"/>
      <c r="F13" s="170"/>
      <c r="G13" s="170"/>
      <c r="H13" s="176"/>
      <c r="I13" s="176"/>
      <c r="J13" s="177"/>
    </row>
    <row r="14" spans="1:10" ht="21" customHeight="1" x14ac:dyDescent="0.25">
      <c r="A14" s="19" t="s">
        <v>21</v>
      </c>
      <c r="B14" s="170"/>
      <c r="C14" s="170"/>
      <c r="D14" s="51"/>
      <c r="E14" s="51"/>
      <c r="F14" s="170"/>
      <c r="G14" s="170"/>
      <c r="H14" s="176"/>
      <c r="I14" s="176"/>
      <c r="J14" s="177"/>
    </row>
    <row r="15" spans="1:10" ht="21" customHeight="1" thickBot="1" x14ac:dyDescent="0.3">
      <c r="A15" s="20" t="s">
        <v>22</v>
      </c>
      <c r="B15" s="175"/>
      <c r="C15" s="175"/>
      <c r="D15" s="52"/>
      <c r="E15" s="52"/>
      <c r="F15" s="175"/>
      <c r="G15" s="175"/>
      <c r="H15" s="178"/>
      <c r="I15" s="178"/>
      <c r="J15" s="179"/>
    </row>
    <row r="16" spans="1:10" ht="24.75" customHeight="1" thickBot="1" x14ac:dyDescent="0.3">
      <c r="A16" s="4"/>
      <c r="B16" s="4"/>
      <c r="C16" s="4"/>
      <c r="D16" s="4"/>
      <c r="E16" s="4"/>
      <c r="F16" s="4"/>
      <c r="G16" s="4"/>
      <c r="H16" s="6"/>
      <c r="I16" s="5"/>
    </row>
    <row r="17" spans="1:10" ht="28.5" customHeight="1" x14ac:dyDescent="0.25">
      <c r="A17" s="143" t="s">
        <v>0</v>
      </c>
      <c r="B17" s="146" t="s">
        <v>31</v>
      </c>
      <c r="C17" s="147"/>
      <c r="D17" s="147"/>
      <c r="E17" s="147"/>
      <c r="F17" s="147"/>
      <c r="G17" s="173"/>
      <c r="H17" s="171" t="s">
        <v>1</v>
      </c>
      <c r="I17" s="33"/>
      <c r="J17" s="26" t="s">
        <v>12</v>
      </c>
    </row>
    <row r="18" spans="1:10" ht="30" customHeight="1" x14ac:dyDescent="0.25">
      <c r="A18" s="144"/>
      <c r="B18" s="8" t="s">
        <v>24</v>
      </c>
      <c r="C18" s="7" t="str">
        <f>+A11</f>
        <v>Cotraitant 1</v>
      </c>
      <c r="D18" s="7" t="str">
        <f>+A12</f>
        <v>Cotraitant 2</v>
      </c>
      <c r="E18" s="7" t="str">
        <f>+A13</f>
        <v>Cotraitant 3</v>
      </c>
      <c r="F18" s="7" t="str">
        <f>+A14</f>
        <v>Cotraitant 4</v>
      </c>
      <c r="G18" s="9" t="str">
        <f>+A15</f>
        <v>Cotraitant 5</v>
      </c>
      <c r="H18" s="172"/>
      <c r="I18" s="32"/>
      <c r="J18" s="45">
        <f>+E7</f>
        <v>0</v>
      </c>
    </row>
    <row r="19" spans="1:10" ht="28.5" customHeight="1" x14ac:dyDescent="0.25">
      <c r="A19" s="144"/>
      <c r="B19" s="14">
        <f>+B10</f>
        <v>0</v>
      </c>
      <c r="C19" s="15">
        <f>+B11</f>
        <v>0</v>
      </c>
      <c r="D19" s="15">
        <f>+B12</f>
        <v>0</v>
      </c>
      <c r="E19" s="15">
        <f>+B13</f>
        <v>0</v>
      </c>
      <c r="F19" s="15">
        <f>+B14</f>
        <v>0</v>
      </c>
      <c r="G19" s="16">
        <f>+B15</f>
        <v>0</v>
      </c>
      <c r="H19" s="172"/>
      <c r="I19" s="32" t="s">
        <v>32</v>
      </c>
      <c r="J19" s="27" t="s">
        <v>13</v>
      </c>
    </row>
    <row r="20" spans="1:10" ht="25.5" customHeight="1" x14ac:dyDescent="0.25">
      <c r="A20" s="22" t="s">
        <v>2</v>
      </c>
      <c r="B20" s="53">
        <v>1</v>
      </c>
      <c r="C20" s="54"/>
      <c r="D20" s="54"/>
      <c r="E20" s="54"/>
      <c r="F20" s="54"/>
      <c r="G20" s="55"/>
      <c r="H20" s="28">
        <f t="shared" ref="H20:H30" si="0">I20/$I$31</f>
        <v>1</v>
      </c>
      <c r="I20" s="24">
        <f>+SUM(B20:G20)</f>
        <v>1</v>
      </c>
      <c r="J20" s="29">
        <f t="shared" ref="J20:J30" si="1">+I20+I20*$J$18</f>
        <v>1</v>
      </c>
    </row>
    <row r="21" spans="1:10" ht="25.5" customHeight="1" x14ac:dyDescent="0.25">
      <c r="A21" s="22" t="s">
        <v>3</v>
      </c>
      <c r="B21" s="53"/>
      <c r="C21" s="54"/>
      <c r="D21" s="54"/>
      <c r="E21" s="54"/>
      <c r="F21" s="54"/>
      <c r="G21" s="55"/>
      <c r="H21" s="28">
        <f t="shared" si="0"/>
        <v>0</v>
      </c>
      <c r="I21" s="24">
        <f t="shared" ref="I21:I29" si="2">+SUM(B21:G21)</f>
        <v>0</v>
      </c>
      <c r="J21" s="29">
        <f t="shared" si="1"/>
        <v>0</v>
      </c>
    </row>
    <row r="22" spans="1:10" ht="25.5" customHeight="1" x14ac:dyDescent="0.25">
      <c r="A22" s="22" t="s">
        <v>4</v>
      </c>
      <c r="B22" s="53"/>
      <c r="C22" s="54"/>
      <c r="D22" s="54"/>
      <c r="E22" s="54"/>
      <c r="F22" s="54"/>
      <c r="G22" s="55"/>
      <c r="H22" s="28">
        <f t="shared" si="0"/>
        <v>0</v>
      </c>
      <c r="I22" s="24">
        <f t="shared" si="2"/>
        <v>0</v>
      </c>
      <c r="J22" s="29">
        <f t="shared" si="1"/>
        <v>0</v>
      </c>
    </row>
    <row r="23" spans="1:10" ht="25.5" customHeight="1" x14ac:dyDescent="0.25">
      <c r="A23" s="22" t="s">
        <v>5</v>
      </c>
      <c r="B23" s="53"/>
      <c r="C23" s="54"/>
      <c r="D23" s="54"/>
      <c r="E23" s="54"/>
      <c r="F23" s="54"/>
      <c r="G23" s="55"/>
      <c r="H23" s="28">
        <f t="shared" si="0"/>
        <v>0</v>
      </c>
      <c r="I23" s="24">
        <f t="shared" si="2"/>
        <v>0</v>
      </c>
      <c r="J23" s="29">
        <f t="shared" si="1"/>
        <v>0</v>
      </c>
    </row>
    <row r="24" spans="1:10" ht="25.5" customHeight="1" x14ac:dyDescent="0.25">
      <c r="A24" s="22" t="s">
        <v>6</v>
      </c>
      <c r="B24" s="53"/>
      <c r="C24" s="54"/>
      <c r="D24" s="54"/>
      <c r="E24" s="54"/>
      <c r="F24" s="54"/>
      <c r="G24" s="55"/>
      <c r="H24" s="28">
        <f t="shared" si="0"/>
        <v>0</v>
      </c>
      <c r="I24" s="24">
        <f t="shared" si="2"/>
        <v>0</v>
      </c>
      <c r="J24" s="29">
        <f t="shared" si="1"/>
        <v>0</v>
      </c>
    </row>
    <row r="25" spans="1:10" ht="25.5" customHeight="1" x14ac:dyDescent="0.25">
      <c r="A25" s="22" t="s">
        <v>7</v>
      </c>
      <c r="B25" s="53"/>
      <c r="C25" s="54"/>
      <c r="D25" s="54"/>
      <c r="E25" s="54"/>
      <c r="F25" s="54"/>
      <c r="G25" s="55"/>
      <c r="H25" s="28">
        <f t="shared" si="0"/>
        <v>0</v>
      </c>
      <c r="I25" s="24">
        <f t="shared" si="2"/>
        <v>0</v>
      </c>
      <c r="J25" s="29">
        <f t="shared" si="1"/>
        <v>0</v>
      </c>
    </row>
    <row r="26" spans="1:10" ht="25.5" customHeight="1" x14ac:dyDescent="0.25">
      <c r="A26" s="22" t="s">
        <v>8</v>
      </c>
      <c r="B26" s="53"/>
      <c r="C26" s="54"/>
      <c r="D26" s="54"/>
      <c r="E26" s="54"/>
      <c r="F26" s="54"/>
      <c r="G26" s="55"/>
      <c r="H26" s="28">
        <f t="shared" si="0"/>
        <v>0</v>
      </c>
      <c r="I26" s="24">
        <f t="shared" si="2"/>
        <v>0</v>
      </c>
      <c r="J26" s="29">
        <f t="shared" si="1"/>
        <v>0</v>
      </c>
    </row>
    <row r="27" spans="1:10" ht="25.5" customHeight="1" x14ac:dyDescent="0.25">
      <c r="A27" s="22" t="s">
        <v>9</v>
      </c>
      <c r="B27" s="53"/>
      <c r="C27" s="54"/>
      <c r="D27" s="54"/>
      <c r="E27" s="54"/>
      <c r="F27" s="54"/>
      <c r="G27" s="55"/>
      <c r="H27" s="28">
        <f t="shared" si="0"/>
        <v>0</v>
      </c>
      <c r="I27" s="24">
        <f t="shared" si="2"/>
        <v>0</v>
      </c>
      <c r="J27" s="29">
        <f t="shared" si="1"/>
        <v>0</v>
      </c>
    </row>
    <row r="28" spans="1:10" ht="25.5" customHeight="1" x14ac:dyDescent="0.25">
      <c r="A28" s="22" t="s">
        <v>10</v>
      </c>
      <c r="B28" s="53"/>
      <c r="C28" s="54"/>
      <c r="D28" s="54"/>
      <c r="E28" s="54"/>
      <c r="F28" s="54"/>
      <c r="G28" s="55"/>
      <c r="H28" s="28">
        <f t="shared" si="0"/>
        <v>0</v>
      </c>
      <c r="I28" s="24">
        <f t="shared" si="2"/>
        <v>0</v>
      </c>
      <c r="J28" s="29">
        <f t="shared" si="1"/>
        <v>0</v>
      </c>
    </row>
    <row r="29" spans="1:10" ht="25.5" customHeight="1" x14ac:dyDescent="0.25">
      <c r="A29" s="22" t="s">
        <v>63</v>
      </c>
      <c r="B29" s="53"/>
      <c r="C29" s="54"/>
      <c r="D29" s="54"/>
      <c r="E29" s="54"/>
      <c r="F29" s="54"/>
      <c r="G29" s="55"/>
      <c r="H29" s="28">
        <f t="shared" si="0"/>
        <v>0</v>
      </c>
      <c r="I29" s="24">
        <f t="shared" si="2"/>
        <v>0</v>
      </c>
      <c r="J29" s="29">
        <f t="shared" si="1"/>
        <v>0</v>
      </c>
    </row>
    <row r="30" spans="1:10" ht="25.5" customHeight="1" x14ac:dyDescent="0.25">
      <c r="A30" s="22" t="s">
        <v>64</v>
      </c>
      <c r="B30" s="53"/>
      <c r="C30" s="54"/>
      <c r="D30" s="54"/>
      <c r="E30" s="54"/>
      <c r="F30" s="54"/>
      <c r="G30" s="55"/>
      <c r="H30" s="28">
        <f t="shared" si="0"/>
        <v>0</v>
      </c>
      <c r="I30" s="24">
        <f t="shared" ref="I30" si="3">+SUM(B30:G30)</f>
        <v>0</v>
      </c>
      <c r="J30" s="29">
        <f t="shared" si="1"/>
        <v>0</v>
      </c>
    </row>
    <row r="31" spans="1:10" ht="25.5" customHeight="1" thickBot="1" x14ac:dyDescent="0.3">
      <c r="A31" s="23" t="s">
        <v>11</v>
      </c>
      <c r="B31" s="10">
        <f t="shared" ref="B31:J31" si="4">+SUM(B20:B30)</f>
        <v>1</v>
      </c>
      <c r="C31" s="11">
        <f t="shared" si="4"/>
        <v>0</v>
      </c>
      <c r="D31" s="11">
        <f t="shared" si="4"/>
        <v>0</v>
      </c>
      <c r="E31" s="11">
        <f t="shared" si="4"/>
        <v>0</v>
      </c>
      <c r="F31" s="11">
        <f t="shared" si="4"/>
        <v>0</v>
      </c>
      <c r="G31" s="12">
        <f t="shared" si="4"/>
        <v>0</v>
      </c>
      <c r="H31" s="30">
        <f t="shared" si="4"/>
        <v>1</v>
      </c>
      <c r="I31" s="25">
        <f t="shared" si="4"/>
        <v>1</v>
      </c>
      <c r="J31" s="31">
        <f t="shared" si="4"/>
        <v>1</v>
      </c>
    </row>
    <row r="32" spans="1:10" x14ac:dyDescent="0.25">
      <c r="A32" s="1"/>
    </row>
    <row r="33" spans="1:7" x14ac:dyDescent="0.25">
      <c r="A33" s="1"/>
      <c r="G33" s="2"/>
    </row>
    <row r="36" spans="1:7" x14ac:dyDescent="0.25">
      <c r="A36" s="3"/>
    </row>
  </sheetData>
  <sheetProtection selectLockedCells="1"/>
  <mergeCells count="25">
    <mergeCell ref="H3:J3"/>
    <mergeCell ref="B9:C9"/>
    <mergeCell ref="B10:C10"/>
    <mergeCell ref="B11:C11"/>
    <mergeCell ref="B12:C12"/>
    <mergeCell ref="H10:J10"/>
    <mergeCell ref="H9:J9"/>
    <mergeCell ref="H11:J11"/>
    <mergeCell ref="H12:J12"/>
    <mergeCell ref="F14:G14"/>
    <mergeCell ref="A17:A19"/>
    <mergeCell ref="H17:H19"/>
    <mergeCell ref="B17:G17"/>
    <mergeCell ref="F9:G9"/>
    <mergeCell ref="F10:G10"/>
    <mergeCell ref="F11:G11"/>
    <mergeCell ref="F12:G12"/>
    <mergeCell ref="F13:G13"/>
    <mergeCell ref="B15:C15"/>
    <mergeCell ref="B13:C13"/>
    <mergeCell ref="B14:C14"/>
    <mergeCell ref="F15:G15"/>
    <mergeCell ref="H13:J13"/>
    <mergeCell ref="H14:J14"/>
    <mergeCell ref="H15:J15"/>
  </mergeCells>
  <phoneticPr fontId="9" type="noConversion"/>
  <printOptions horizontalCentered="1" verticalCentered="1"/>
  <pageMargins left="0.31496062992125984" right="0.31496062992125984" top="0.55118110236220474" bottom="0.15748031496062992" header="0.31496062992125984" footer="0.11811023622047245"/>
  <pageSetup paperSize="9" scale="67" orientation="landscape" r:id="rId1"/>
  <headerFooter>
    <oddHeader xml:space="preserve">&amp;L&amp;9&amp;G&amp;R&amp;"Georgia,Normal"&amp;20MOE -MISSIONS ET REPARTITION DES HONORAIRES &amp;"GEO,Normal"&amp;11
</oddHeader>
    <oddFooter xml:space="preserve">&amp;R&amp;8SERVICE DEVELOPPEMENT - DS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2AE2-63BB-4531-8A36-5FB5DDA42491}">
  <dimension ref="A1:J32"/>
  <sheetViews>
    <sheetView view="pageBreakPreview" zoomScale="90" zoomScaleNormal="100" zoomScaleSheetLayoutView="90" workbookViewId="0">
      <selection activeCell="F7" sqref="F7"/>
    </sheetView>
  </sheetViews>
  <sheetFormatPr baseColWidth="10" defaultRowHeight="15" x14ac:dyDescent="0.25"/>
  <cols>
    <col min="1" max="2" width="17" customWidth="1"/>
    <col min="3" max="7" width="21.28515625" customWidth="1"/>
    <col min="8" max="11" width="17" customWidth="1"/>
  </cols>
  <sheetData>
    <row r="1" spans="1:10" x14ac:dyDescent="0.25">
      <c r="A1" s="1"/>
    </row>
    <row r="2" spans="1:10" ht="23.25" customHeight="1" x14ac:dyDescent="0.25">
      <c r="A2" s="1"/>
      <c r="D2" s="18" t="s">
        <v>38</v>
      </c>
      <c r="E2" s="1" t="str">
        <f>+MOE!E2</f>
        <v>RC002170</v>
      </c>
      <c r="H2" s="41" t="s">
        <v>36</v>
      </c>
      <c r="I2" s="43"/>
      <c r="J2" s="42" t="s">
        <v>37</v>
      </c>
    </row>
    <row r="3" spans="1:10" ht="23.25" customHeight="1" x14ac:dyDescent="0.25">
      <c r="A3" s="1"/>
      <c r="D3" s="18" t="s">
        <v>34</v>
      </c>
      <c r="E3" s="1" t="str">
        <f>+MOE!E3</f>
        <v>17 RUE DU VIALMUR - POMPES A CHALEUR</v>
      </c>
      <c r="H3" s="166" t="s">
        <v>35</v>
      </c>
      <c r="I3" s="167"/>
      <c r="J3" s="180"/>
    </row>
    <row r="4" spans="1:10" ht="23.25" customHeight="1" x14ac:dyDescent="0.25">
      <c r="B4" s="17"/>
      <c r="C4" s="17"/>
      <c r="D4" s="4" t="s">
        <v>23</v>
      </c>
      <c r="E4" s="46"/>
      <c r="F4" s="1" t="s">
        <v>17</v>
      </c>
      <c r="H4" s="35"/>
      <c r="J4" s="36"/>
    </row>
    <row r="5" spans="1:10" ht="23.25" customHeight="1" x14ac:dyDescent="0.25">
      <c r="B5" s="17"/>
      <c r="C5" s="17"/>
      <c r="D5" s="4" t="s">
        <v>14</v>
      </c>
      <c r="E5" s="34">
        <f>+E4/E6</f>
        <v>0</v>
      </c>
      <c r="F5" s="1"/>
      <c r="H5" s="35"/>
      <c r="J5" s="36"/>
    </row>
    <row r="6" spans="1:10" ht="23.25" customHeight="1" x14ac:dyDescent="0.25">
      <c r="B6" s="17"/>
      <c r="C6" s="17"/>
      <c r="D6" s="4" t="s">
        <v>15</v>
      </c>
      <c r="E6" s="47">
        <v>250000</v>
      </c>
      <c r="F6" s="1" t="s">
        <v>16</v>
      </c>
      <c r="H6" s="35"/>
      <c r="J6" s="36"/>
    </row>
    <row r="7" spans="1:10" ht="23.25" customHeight="1" x14ac:dyDescent="0.25">
      <c r="B7" s="17"/>
      <c r="C7" s="17"/>
      <c r="D7" s="4" t="s">
        <v>33</v>
      </c>
      <c r="E7" s="48">
        <v>0.2</v>
      </c>
      <c r="F7" s="1"/>
      <c r="H7" s="37"/>
      <c r="I7" s="44"/>
      <c r="J7" s="38"/>
    </row>
    <row r="8" spans="1:10" ht="18.75" customHeight="1" thickBot="1" x14ac:dyDescent="0.3">
      <c r="A8" s="4"/>
      <c r="B8" s="4"/>
      <c r="C8" s="4"/>
      <c r="D8" s="4"/>
      <c r="E8" s="4"/>
      <c r="F8" s="4"/>
      <c r="G8" s="4"/>
      <c r="H8" s="6"/>
      <c r="I8" s="5"/>
    </row>
    <row r="9" spans="1:10" s="13" customFormat="1" ht="37.5" customHeight="1" thickBot="1" x14ac:dyDescent="0.3">
      <c r="A9" s="39"/>
      <c r="B9" s="168" t="s">
        <v>26</v>
      </c>
      <c r="C9" s="168"/>
      <c r="D9" s="40" t="s">
        <v>27</v>
      </c>
      <c r="E9" s="40" t="s">
        <v>28</v>
      </c>
      <c r="F9" s="168" t="s">
        <v>29</v>
      </c>
      <c r="G9" s="168"/>
      <c r="H9" s="183" t="s">
        <v>30</v>
      </c>
      <c r="I9" s="183"/>
      <c r="J9" s="184"/>
    </row>
    <row r="10" spans="1:10" ht="21" customHeight="1" thickBot="1" x14ac:dyDescent="0.3">
      <c r="A10" s="59" t="s">
        <v>25</v>
      </c>
      <c r="B10" s="169"/>
      <c r="C10" s="169"/>
      <c r="D10" s="61"/>
      <c r="E10" s="60"/>
      <c r="F10" s="169"/>
      <c r="G10" s="169"/>
      <c r="H10" s="193"/>
      <c r="I10" s="193"/>
      <c r="J10" s="194"/>
    </row>
    <row r="11" spans="1:10" ht="24.75" customHeight="1" thickBot="1" x14ac:dyDescent="0.3">
      <c r="A11" s="4"/>
      <c r="B11" s="4"/>
      <c r="C11" s="4"/>
      <c r="D11" s="4"/>
      <c r="E11" s="4"/>
      <c r="F11" s="4"/>
      <c r="G11" s="4"/>
      <c r="H11" s="6"/>
      <c r="I11" s="5"/>
    </row>
    <row r="12" spans="1:10" ht="28.5" customHeight="1" x14ac:dyDescent="0.25">
      <c r="A12" s="143" t="s">
        <v>0</v>
      </c>
      <c r="B12" s="146" t="s">
        <v>51</v>
      </c>
      <c r="C12" s="147"/>
      <c r="D12" s="147"/>
      <c r="E12" s="147"/>
      <c r="F12" s="147"/>
      <c r="G12" s="148"/>
      <c r="H12" s="69"/>
      <c r="I12" s="70" t="s">
        <v>12</v>
      </c>
      <c r="J12" s="26" t="s">
        <v>12</v>
      </c>
    </row>
    <row r="13" spans="1:10" ht="30" customHeight="1" x14ac:dyDescent="0.25">
      <c r="A13" s="144"/>
      <c r="B13" s="144" t="s">
        <v>24</v>
      </c>
      <c r="C13" s="149"/>
      <c r="D13" s="149"/>
      <c r="E13" s="149"/>
      <c r="F13" s="150"/>
      <c r="G13" s="57" t="s">
        <v>42</v>
      </c>
      <c r="H13" s="71"/>
      <c r="I13" s="65">
        <f>+E7</f>
        <v>0.2</v>
      </c>
      <c r="J13" s="72"/>
    </row>
    <row r="14" spans="1:10" ht="28.5" customHeight="1" thickBot="1" x14ac:dyDescent="0.3">
      <c r="A14" s="144"/>
      <c r="B14" s="190">
        <f>+B10</f>
        <v>0</v>
      </c>
      <c r="C14" s="191"/>
      <c r="D14" s="191"/>
      <c r="E14" s="191"/>
      <c r="F14" s="192"/>
      <c r="G14" s="58"/>
      <c r="H14" s="73" t="s">
        <v>32</v>
      </c>
      <c r="I14" s="74"/>
      <c r="J14" s="75" t="s">
        <v>13</v>
      </c>
    </row>
    <row r="15" spans="1:10" ht="25.5" customHeight="1" x14ac:dyDescent="0.25">
      <c r="A15" s="22" t="s">
        <v>39</v>
      </c>
      <c r="B15" s="187" t="s">
        <v>43</v>
      </c>
      <c r="C15" s="188"/>
      <c r="D15" s="188"/>
      <c r="E15" s="188"/>
      <c r="F15" s="189"/>
      <c r="G15" s="55"/>
      <c r="H15" s="66">
        <f t="shared" ref="H15:H26" si="0">+SUM(B15:G15)</f>
        <v>0</v>
      </c>
      <c r="I15" s="67">
        <f>+H15*$I$13</f>
        <v>0</v>
      </c>
      <c r="J15" s="68">
        <f t="shared" ref="J15:J26" si="1">+H15+H15*$I$13</f>
        <v>0</v>
      </c>
    </row>
    <row r="16" spans="1:10" ht="25.5" customHeight="1" x14ac:dyDescent="0.25">
      <c r="A16" s="22" t="s">
        <v>40</v>
      </c>
      <c r="B16" s="185" t="s">
        <v>44</v>
      </c>
      <c r="C16" s="186"/>
      <c r="D16" s="186"/>
      <c r="E16" s="186"/>
      <c r="F16" s="186"/>
      <c r="G16" s="55"/>
      <c r="H16" s="24">
        <f t="shared" si="0"/>
        <v>0</v>
      </c>
      <c r="I16" s="63">
        <f t="shared" ref="I16:I26" si="2">+H16*$I$13</f>
        <v>0</v>
      </c>
      <c r="J16" s="29">
        <f t="shared" si="1"/>
        <v>0</v>
      </c>
    </row>
    <row r="17" spans="1:10" ht="25.5" customHeight="1" x14ac:dyDescent="0.25">
      <c r="A17" s="22"/>
      <c r="B17" s="185" t="s">
        <v>45</v>
      </c>
      <c r="C17" s="186"/>
      <c r="D17" s="186"/>
      <c r="E17" s="186"/>
      <c r="F17" s="186"/>
      <c r="G17" s="55"/>
      <c r="H17" s="24">
        <f t="shared" si="0"/>
        <v>0</v>
      </c>
      <c r="I17" s="63">
        <f t="shared" si="2"/>
        <v>0</v>
      </c>
      <c r="J17" s="29">
        <f t="shared" si="1"/>
        <v>0</v>
      </c>
    </row>
    <row r="18" spans="1:10" ht="25.5" customHeight="1" x14ac:dyDescent="0.25">
      <c r="A18" s="22"/>
      <c r="B18" s="185" t="s">
        <v>46</v>
      </c>
      <c r="C18" s="186"/>
      <c r="D18" s="186"/>
      <c r="E18" s="186"/>
      <c r="F18" s="186"/>
      <c r="G18" s="55"/>
      <c r="H18" s="24">
        <f t="shared" si="0"/>
        <v>0</v>
      </c>
      <c r="I18" s="63">
        <f t="shared" si="2"/>
        <v>0</v>
      </c>
      <c r="J18" s="29">
        <f t="shared" si="1"/>
        <v>0</v>
      </c>
    </row>
    <row r="19" spans="1:10" ht="25.5" customHeight="1" x14ac:dyDescent="0.25">
      <c r="A19" s="22"/>
      <c r="B19" s="185" t="s">
        <v>47</v>
      </c>
      <c r="C19" s="186"/>
      <c r="D19" s="186"/>
      <c r="E19" s="186"/>
      <c r="F19" s="186"/>
      <c r="G19" s="55"/>
      <c r="H19" s="24">
        <f t="shared" si="0"/>
        <v>0</v>
      </c>
      <c r="I19" s="63">
        <f t="shared" si="2"/>
        <v>0</v>
      </c>
      <c r="J19" s="29">
        <f t="shared" si="1"/>
        <v>0</v>
      </c>
    </row>
    <row r="20" spans="1:10" ht="25.5" customHeight="1" x14ac:dyDescent="0.25">
      <c r="A20" s="22"/>
      <c r="B20" s="185" t="s">
        <v>48</v>
      </c>
      <c r="C20" s="186"/>
      <c r="D20" s="186"/>
      <c r="E20" s="186"/>
      <c r="F20" s="186"/>
      <c r="G20" s="55"/>
      <c r="H20" s="24">
        <f t="shared" si="0"/>
        <v>0</v>
      </c>
      <c r="I20" s="63">
        <f t="shared" si="2"/>
        <v>0</v>
      </c>
      <c r="J20" s="29">
        <f t="shared" si="1"/>
        <v>0</v>
      </c>
    </row>
    <row r="21" spans="1:10" ht="25.5" customHeight="1" x14ac:dyDescent="0.25">
      <c r="A21" s="22"/>
      <c r="B21" s="185" t="s">
        <v>49</v>
      </c>
      <c r="C21" s="186"/>
      <c r="D21" s="186"/>
      <c r="E21" s="186"/>
      <c r="F21" s="186"/>
      <c r="G21" s="55"/>
      <c r="H21" s="24">
        <f t="shared" si="0"/>
        <v>0</v>
      </c>
      <c r="I21" s="63">
        <f t="shared" si="2"/>
        <v>0</v>
      </c>
      <c r="J21" s="29">
        <f t="shared" si="1"/>
        <v>0</v>
      </c>
    </row>
    <row r="22" spans="1:10" ht="25.5" customHeight="1" x14ac:dyDescent="0.25">
      <c r="A22" s="22"/>
      <c r="B22" s="185" t="s">
        <v>50</v>
      </c>
      <c r="C22" s="186"/>
      <c r="D22" s="186"/>
      <c r="E22" s="186"/>
      <c r="F22" s="186"/>
      <c r="G22" s="55"/>
      <c r="H22" s="24">
        <f t="shared" si="0"/>
        <v>0</v>
      </c>
      <c r="I22" s="63">
        <f t="shared" si="2"/>
        <v>0</v>
      </c>
      <c r="J22" s="29">
        <f t="shared" si="1"/>
        <v>0</v>
      </c>
    </row>
    <row r="23" spans="1:10" ht="25.5" customHeight="1" x14ac:dyDescent="0.25">
      <c r="A23" s="22" t="s">
        <v>41</v>
      </c>
      <c r="B23" s="185" t="s">
        <v>47</v>
      </c>
      <c r="C23" s="186"/>
      <c r="D23" s="186"/>
      <c r="E23" s="186"/>
      <c r="F23" s="186"/>
      <c r="G23" s="56"/>
      <c r="H23" s="24">
        <f t="shared" si="0"/>
        <v>0</v>
      </c>
      <c r="I23" s="63">
        <f t="shared" si="2"/>
        <v>0</v>
      </c>
      <c r="J23" s="29">
        <f t="shared" si="1"/>
        <v>0</v>
      </c>
    </row>
    <row r="24" spans="1:10" ht="25.5" customHeight="1" x14ac:dyDescent="0.25">
      <c r="A24" s="22"/>
      <c r="B24" s="185" t="s">
        <v>48</v>
      </c>
      <c r="C24" s="186"/>
      <c r="D24" s="186"/>
      <c r="E24" s="186"/>
      <c r="F24" s="186"/>
      <c r="G24" s="56"/>
      <c r="H24" s="24">
        <f t="shared" si="0"/>
        <v>0</v>
      </c>
      <c r="I24" s="63">
        <f t="shared" si="2"/>
        <v>0</v>
      </c>
      <c r="J24" s="29">
        <f t="shared" si="1"/>
        <v>0</v>
      </c>
    </row>
    <row r="25" spans="1:10" ht="25.5" customHeight="1" x14ac:dyDescent="0.25">
      <c r="A25" s="22"/>
      <c r="B25" s="185" t="s">
        <v>49</v>
      </c>
      <c r="C25" s="186"/>
      <c r="D25" s="186"/>
      <c r="E25" s="186"/>
      <c r="F25" s="186"/>
      <c r="G25" s="56"/>
      <c r="H25" s="24">
        <f t="shared" si="0"/>
        <v>0</v>
      </c>
      <c r="I25" s="63">
        <f t="shared" si="2"/>
        <v>0</v>
      </c>
      <c r="J25" s="29">
        <f t="shared" si="1"/>
        <v>0</v>
      </c>
    </row>
    <row r="26" spans="1:10" ht="25.5" customHeight="1" x14ac:dyDescent="0.25">
      <c r="A26" s="22"/>
      <c r="B26" s="185" t="s">
        <v>50</v>
      </c>
      <c r="C26" s="186"/>
      <c r="D26" s="186"/>
      <c r="E26" s="186"/>
      <c r="F26" s="186"/>
      <c r="G26" s="56"/>
      <c r="H26" s="24">
        <f t="shared" si="0"/>
        <v>0</v>
      </c>
      <c r="I26" s="63">
        <f t="shared" si="2"/>
        <v>0</v>
      </c>
      <c r="J26" s="29">
        <f t="shared" si="1"/>
        <v>0</v>
      </c>
    </row>
    <row r="27" spans="1:10" ht="25.5" customHeight="1" thickBot="1" x14ac:dyDescent="0.3">
      <c r="A27" s="23" t="s">
        <v>11</v>
      </c>
      <c r="B27" s="131"/>
      <c r="C27" s="132"/>
      <c r="D27" s="132"/>
      <c r="E27" s="132"/>
      <c r="F27" s="133"/>
      <c r="G27" s="64">
        <f>+SUM(G15:G26)</f>
        <v>0</v>
      </c>
      <c r="H27" s="62">
        <f>+SUM(H15:H26)</f>
        <v>0</v>
      </c>
      <c r="I27" s="25">
        <f>+SUM(H15:H26)</f>
        <v>0</v>
      </c>
      <c r="J27" s="31">
        <f>+SUM(J15:J26)</f>
        <v>0</v>
      </c>
    </row>
    <row r="28" spans="1:10" x14ac:dyDescent="0.25">
      <c r="A28" s="1"/>
    </row>
    <row r="29" spans="1:10" x14ac:dyDescent="0.25">
      <c r="A29" s="1"/>
      <c r="G29" s="2"/>
    </row>
    <row r="32" spans="1:10" x14ac:dyDescent="0.25">
      <c r="A32" s="3"/>
    </row>
  </sheetData>
  <sheetProtection selectLockedCells="1"/>
  <mergeCells count="24">
    <mergeCell ref="A12:A14"/>
    <mergeCell ref="B12:G12"/>
    <mergeCell ref="B13:F13"/>
    <mergeCell ref="B14:F14"/>
    <mergeCell ref="H3:J3"/>
    <mergeCell ref="B9:C9"/>
    <mergeCell ref="F9:G9"/>
    <mergeCell ref="H9:J9"/>
    <mergeCell ref="B10:C10"/>
    <mergeCell ref="F10:G10"/>
    <mergeCell ref="H10:J10"/>
    <mergeCell ref="B15:F15"/>
    <mergeCell ref="B16:F16"/>
    <mergeCell ref="B17:F17"/>
    <mergeCell ref="B18:F18"/>
    <mergeCell ref="B19:F19"/>
    <mergeCell ref="B24:F24"/>
    <mergeCell ref="B25:F25"/>
    <mergeCell ref="B26:F26"/>
    <mergeCell ref="B27:F27"/>
    <mergeCell ref="B20:F20"/>
    <mergeCell ref="B21:F21"/>
    <mergeCell ref="B22:F22"/>
    <mergeCell ref="B23:F23"/>
  </mergeCells>
  <printOptions horizontalCentered="1" verticalCentered="1"/>
  <pageMargins left="0.31496062992125984" right="0.31496062992125984" top="0.55118110236220474" bottom="0.15748031496062992" header="0.31496062992125984" footer="0.11811023622047245"/>
  <pageSetup paperSize="9" scale="67" orientation="landscape" r:id="rId1"/>
  <headerFooter>
    <oddHeader xml:space="preserve">&amp;L&amp;9&amp;G&amp;R&amp;"Georgia,Normal"&amp;20OPC -MISSIONS ET REPARTITION DES HONORAIRES &amp;"GEO,Normal"&amp;11
</oddHeader>
    <oddFooter xml:space="preserve">&amp;R&amp;8SERVICE DEVELOPPEMENT - DS 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F0D4-19B5-4199-8FA6-B42D821EEB0B}">
  <dimension ref="A1:J33"/>
  <sheetViews>
    <sheetView view="pageLayout" zoomScaleNormal="100" zoomScaleSheetLayoutView="90" workbookViewId="0">
      <selection activeCell="F7" sqref="F7"/>
    </sheetView>
  </sheetViews>
  <sheetFormatPr baseColWidth="10" defaultRowHeight="15" x14ac:dyDescent="0.25"/>
  <cols>
    <col min="1" max="2" width="17" customWidth="1"/>
    <col min="3" max="7" width="21.28515625" customWidth="1"/>
    <col min="8" max="11" width="17" customWidth="1"/>
  </cols>
  <sheetData>
    <row r="1" spans="1:10" x14ac:dyDescent="0.25">
      <c r="A1" s="1"/>
    </row>
    <row r="2" spans="1:10" ht="23.25" customHeight="1" x14ac:dyDescent="0.25">
      <c r="A2" s="1"/>
      <c r="D2" s="18" t="s">
        <v>38</v>
      </c>
      <c r="E2" s="1" t="str">
        <f>+MOE!E2</f>
        <v>RC002170</v>
      </c>
      <c r="H2" s="41" t="s">
        <v>36</v>
      </c>
      <c r="I2" s="43"/>
      <c r="J2" s="42" t="s">
        <v>37</v>
      </c>
    </row>
    <row r="3" spans="1:10" ht="23.25" customHeight="1" x14ac:dyDescent="0.25">
      <c r="A3" s="1"/>
      <c r="D3" s="18" t="s">
        <v>34</v>
      </c>
      <c r="E3" s="1" t="str">
        <f>+MOE!E3</f>
        <v>17 RUE DU VIALMUR - POMPES A CHALEUR</v>
      </c>
      <c r="H3" s="166" t="s">
        <v>35</v>
      </c>
      <c r="I3" s="167"/>
      <c r="J3" s="180"/>
    </row>
    <row r="4" spans="1:10" ht="23.25" customHeight="1" x14ac:dyDescent="0.25">
      <c r="B4" s="17"/>
      <c r="C4" s="17"/>
      <c r="D4" s="4" t="s">
        <v>23</v>
      </c>
      <c r="E4" s="84">
        <f>+H28</f>
        <v>0</v>
      </c>
      <c r="F4" s="1" t="s">
        <v>17</v>
      </c>
      <c r="H4" s="35"/>
      <c r="J4" s="36"/>
    </row>
    <row r="5" spans="1:10" ht="23.25" customHeight="1" x14ac:dyDescent="0.25">
      <c r="B5" s="17"/>
      <c r="C5" s="17"/>
      <c r="D5" s="4" t="s">
        <v>14</v>
      </c>
      <c r="E5" s="85">
        <f>+E4/E6</f>
        <v>0</v>
      </c>
      <c r="F5" s="1"/>
      <c r="H5" s="35"/>
      <c r="J5" s="36"/>
    </row>
    <row r="6" spans="1:10" ht="23.25" customHeight="1" x14ac:dyDescent="0.25">
      <c r="B6" s="17"/>
      <c r="C6" s="17"/>
      <c r="D6" s="4" t="s">
        <v>15</v>
      </c>
      <c r="E6" s="76">
        <v>3992734.45</v>
      </c>
      <c r="F6" s="1" t="s">
        <v>16</v>
      </c>
      <c r="H6" s="35"/>
      <c r="J6" s="36"/>
    </row>
    <row r="7" spans="1:10" ht="23.25" customHeight="1" x14ac:dyDescent="0.25">
      <c r="B7" s="17"/>
      <c r="C7" s="17"/>
      <c r="D7" s="4" t="s">
        <v>33</v>
      </c>
      <c r="E7" s="48"/>
      <c r="F7" s="1"/>
      <c r="H7" s="37"/>
      <c r="I7" s="44"/>
      <c r="J7" s="38"/>
    </row>
    <row r="8" spans="1:10" ht="18.75" customHeight="1" thickBot="1" x14ac:dyDescent="0.3">
      <c r="A8" s="4"/>
      <c r="B8" s="4"/>
      <c r="C8" s="4"/>
      <c r="D8" s="4"/>
      <c r="E8" s="4"/>
      <c r="F8" s="4"/>
      <c r="G8" s="4"/>
      <c r="H8" s="6"/>
      <c r="I8" s="5"/>
    </row>
    <row r="9" spans="1:10" s="13" customFormat="1" ht="37.5" customHeight="1" thickBot="1" x14ac:dyDescent="0.3">
      <c r="A9" s="39"/>
      <c r="B9" s="168" t="s">
        <v>26</v>
      </c>
      <c r="C9" s="168"/>
      <c r="D9" s="40" t="s">
        <v>27</v>
      </c>
      <c r="E9" s="40" t="s">
        <v>28</v>
      </c>
      <c r="F9" s="168" t="s">
        <v>29</v>
      </c>
      <c r="G9" s="168"/>
      <c r="H9" s="183" t="s">
        <v>30</v>
      </c>
      <c r="I9" s="183"/>
      <c r="J9" s="184"/>
    </row>
    <row r="10" spans="1:10" ht="21" customHeight="1" thickBot="1" x14ac:dyDescent="0.3">
      <c r="A10" s="59" t="s">
        <v>25</v>
      </c>
      <c r="B10" s="169"/>
      <c r="C10" s="169"/>
      <c r="D10" s="61"/>
      <c r="E10" s="60"/>
      <c r="F10" s="169"/>
      <c r="G10" s="169"/>
      <c r="H10" s="193"/>
      <c r="I10" s="193"/>
      <c r="J10" s="194"/>
    </row>
    <row r="11" spans="1:10" ht="24.75" customHeight="1" thickBot="1" x14ac:dyDescent="0.3">
      <c r="A11" s="4"/>
      <c r="B11" s="4"/>
      <c r="C11" s="4"/>
      <c r="D11" s="4"/>
      <c r="E11" s="4"/>
      <c r="F11" s="4"/>
      <c r="G11" s="4"/>
      <c r="H11" s="6"/>
      <c r="I11" s="5"/>
    </row>
    <row r="12" spans="1:10" ht="28.5" customHeight="1" x14ac:dyDescent="0.25">
      <c r="A12" s="143" t="s">
        <v>0</v>
      </c>
      <c r="B12" s="146" t="s">
        <v>51</v>
      </c>
      <c r="C12" s="147"/>
      <c r="D12" s="147"/>
      <c r="E12" s="147"/>
      <c r="F12" s="147"/>
      <c r="G12" s="148"/>
      <c r="H12" s="69"/>
      <c r="I12" s="70" t="s">
        <v>12</v>
      </c>
      <c r="J12" s="26" t="s">
        <v>12</v>
      </c>
    </row>
    <row r="13" spans="1:10" ht="30" customHeight="1" x14ac:dyDescent="0.25">
      <c r="A13" s="144"/>
      <c r="B13" s="144" t="s">
        <v>24</v>
      </c>
      <c r="C13" s="149"/>
      <c r="D13" s="149"/>
      <c r="E13" s="149"/>
      <c r="F13" s="150"/>
      <c r="G13" s="57" t="s">
        <v>42</v>
      </c>
      <c r="H13" s="71"/>
      <c r="I13" s="65">
        <f>+E7</f>
        <v>0</v>
      </c>
      <c r="J13" s="72"/>
    </row>
    <row r="14" spans="1:10" ht="28.5" customHeight="1" thickBot="1" x14ac:dyDescent="0.3">
      <c r="A14" s="144"/>
      <c r="B14" s="190">
        <f>+B10</f>
        <v>0</v>
      </c>
      <c r="C14" s="191"/>
      <c r="D14" s="191"/>
      <c r="E14" s="191"/>
      <c r="F14" s="192"/>
      <c r="G14" s="58"/>
      <c r="H14" s="73" t="s">
        <v>32</v>
      </c>
      <c r="I14" s="74"/>
      <c r="J14" s="75" t="s">
        <v>13</v>
      </c>
    </row>
    <row r="15" spans="1:10" ht="25.5" customHeight="1" x14ac:dyDescent="0.25">
      <c r="A15" s="22" t="s">
        <v>53</v>
      </c>
      <c r="B15" s="140" t="s">
        <v>54</v>
      </c>
      <c r="C15" s="141"/>
      <c r="D15" s="141"/>
      <c r="E15" s="141"/>
      <c r="F15" s="142"/>
      <c r="G15" s="55"/>
      <c r="H15" s="66">
        <f t="shared" ref="H15:H22" si="0">+SUM(B15:G15)</f>
        <v>0</v>
      </c>
      <c r="I15" s="67">
        <f>+H15*$I$13</f>
        <v>0</v>
      </c>
      <c r="J15" s="68">
        <f t="shared" ref="J15:J22" si="1">+H15+H15*$I$13</f>
        <v>0</v>
      </c>
    </row>
    <row r="16" spans="1:10" ht="25.5" customHeight="1" x14ac:dyDescent="0.25">
      <c r="A16" s="22"/>
      <c r="B16" s="140" t="s">
        <v>82</v>
      </c>
      <c r="C16" s="141"/>
      <c r="D16" s="141"/>
      <c r="E16" s="141"/>
      <c r="F16" s="142"/>
      <c r="G16" s="55"/>
      <c r="H16" s="24">
        <f t="shared" si="0"/>
        <v>0</v>
      </c>
      <c r="I16" s="63">
        <f t="shared" ref="I16:I27" si="2">+H16*$I$13</f>
        <v>0</v>
      </c>
      <c r="J16" s="29">
        <f t="shared" si="1"/>
        <v>0</v>
      </c>
    </row>
    <row r="17" spans="1:10" ht="25.5" customHeight="1" x14ac:dyDescent="0.25">
      <c r="A17" s="22"/>
      <c r="B17" s="140" t="s">
        <v>83</v>
      </c>
      <c r="C17" s="141"/>
      <c r="D17" s="141"/>
      <c r="E17" s="141"/>
      <c r="F17" s="142"/>
      <c r="G17" s="55"/>
      <c r="H17" s="24">
        <f t="shared" si="0"/>
        <v>0</v>
      </c>
      <c r="I17" s="63">
        <f t="shared" si="2"/>
        <v>0</v>
      </c>
      <c r="J17" s="29">
        <f t="shared" si="1"/>
        <v>0</v>
      </c>
    </row>
    <row r="18" spans="1:10" ht="25.5" customHeight="1" x14ac:dyDescent="0.25">
      <c r="A18" s="22"/>
      <c r="B18" s="140" t="s">
        <v>55</v>
      </c>
      <c r="C18" s="141"/>
      <c r="D18" s="141"/>
      <c r="E18" s="141"/>
      <c r="F18" s="142"/>
      <c r="G18" s="55"/>
      <c r="H18" s="24">
        <f t="shared" si="0"/>
        <v>0</v>
      </c>
      <c r="I18" s="63">
        <f t="shared" si="2"/>
        <v>0</v>
      </c>
      <c r="J18" s="29">
        <f t="shared" si="1"/>
        <v>0</v>
      </c>
    </row>
    <row r="19" spans="1:10" ht="25.5" customHeight="1" x14ac:dyDescent="0.25">
      <c r="A19" s="22"/>
      <c r="B19" s="140" t="s">
        <v>56</v>
      </c>
      <c r="C19" s="141"/>
      <c r="D19" s="141"/>
      <c r="E19" s="141"/>
      <c r="F19" s="142"/>
      <c r="G19" s="55"/>
      <c r="H19" s="24">
        <f t="shared" si="0"/>
        <v>0</v>
      </c>
      <c r="I19" s="63">
        <f t="shared" si="2"/>
        <v>0</v>
      </c>
      <c r="J19" s="29">
        <f t="shared" si="1"/>
        <v>0</v>
      </c>
    </row>
    <row r="20" spans="1:10" ht="25.5" customHeight="1" x14ac:dyDescent="0.25">
      <c r="A20" s="22"/>
      <c r="B20" s="140" t="s">
        <v>57</v>
      </c>
      <c r="C20" s="141"/>
      <c r="D20" s="141"/>
      <c r="E20" s="141"/>
      <c r="F20" s="142"/>
      <c r="G20" s="55"/>
      <c r="H20" s="24">
        <f t="shared" si="0"/>
        <v>0</v>
      </c>
      <c r="I20" s="63">
        <f t="shared" si="2"/>
        <v>0</v>
      </c>
      <c r="J20" s="29">
        <f t="shared" si="1"/>
        <v>0</v>
      </c>
    </row>
    <row r="21" spans="1:10" ht="25.5" customHeight="1" x14ac:dyDescent="0.25">
      <c r="A21" s="22" t="s">
        <v>58</v>
      </c>
      <c r="B21" s="140" t="s">
        <v>59</v>
      </c>
      <c r="C21" s="141"/>
      <c r="D21" s="141"/>
      <c r="E21" s="141"/>
      <c r="F21" s="142"/>
      <c r="G21" s="55"/>
      <c r="H21" s="24">
        <f t="shared" si="0"/>
        <v>0</v>
      </c>
      <c r="I21" s="63">
        <f t="shared" si="2"/>
        <v>0</v>
      </c>
      <c r="J21" s="29">
        <f t="shared" si="1"/>
        <v>0</v>
      </c>
    </row>
    <row r="22" spans="1:10" ht="25.5" customHeight="1" x14ac:dyDescent="0.25">
      <c r="A22" s="22"/>
      <c r="B22" s="140" t="s">
        <v>60</v>
      </c>
      <c r="C22" s="141"/>
      <c r="D22" s="141"/>
      <c r="E22" s="141"/>
      <c r="F22" s="142"/>
      <c r="G22" s="55"/>
      <c r="H22" s="24">
        <f t="shared" si="0"/>
        <v>0</v>
      </c>
      <c r="I22" s="63">
        <f t="shared" si="2"/>
        <v>0</v>
      </c>
      <c r="J22" s="29">
        <f t="shared" si="1"/>
        <v>0</v>
      </c>
    </row>
    <row r="23" spans="1:10" ht="25.5" customHeight="1" x14ac:dyDescent="0.25">
      <c r="A23" s="22"/>
      <c r="B23" s="140" t="s">
        <v>80</v>
      </c>
      <c r="C23" s="141"/>
      <c r="D23" s="141"/>
      <c r="E23" s="141"/>
      <c r="F23" s="142"/>
      <c r="G23" s="56"/>
      <c r="H23" s="24">
        <f t="shared" ref="H23:H24" si="3">+SUM(B23:G23)</f>
        <v>0</v>
      </c>
      <c r="I23" s="63">
        <f t="shared" si="2"/>
        <v>0</v>
      </c>
      <c r="J23" s="29">
        <f t="shared" ref="J23:J24" si="4">+H23+H23*$I$13</f>
        <v>0</v>
      </c>
    </row>
    <row r="24" spans="1:10" ht="25.5" customHeight="1" x14ac:dyDescent="0.25">
      <c r="A24" s="22"/>
      <c r="B24" s="140" t="s">
        <v>81</v>
      </c>
      <c r="C24" s="141"/>
      <c r="D24" s="141"/>
      <c r="E24" s="141"/>
      <c r="F24" s="142"/>
      <c r="G24" s="56"/>
      <c r="H24" s="24">
        <f t="shared" si="3"/>
        <v>0</v>
      </c>
      <c r="I24" s="63">
        <f t="shared" si="2"/>
        <v>0</v>
      </c>
      <c r="J24" s="29">
        <f t="shared" si="4"/>
        <v>0</v>
      </c>
    </row>
    <row r="25" spans="1:10" ht="25.5" customHeight="1" x14ac:dyDescent="0.25">
      <c r="A25" s="22"/>
      <c r="B25" s="140" t="s">
        <v>79</v>
      </c>
      <c r="C25" s="141"/>
      <c r="D25" s="141"/>
      <c r="E25" s="141"/>
      <c r="F25" s="142"/>
      <c r="G25" s="56"/>
      <c r="H25" s="24">
        <f>+SUM(B25:G25)</f>
        <v>0</v>
      </c>
      <c r="I25" s="63">
        <f t="shared" si="2"/>
        <v>0</v>
      </c>
      <c r="J25" s="29">
        <f>+H25+H25*$I$13</f>
        <v>0</v>
      </c>
    </row>
    <row r="26" spans="1:10" ht="25.5" customHeight="1" x14ac:dyDescent="0.25">
      <c r="A26" s="22"/>
      <c r="B26" s="140" t="s">
        <v>61</v>
      </c>
      <c r="C26" s="141"/>
      <c r="D26" s="141"/>
      <c r="E26" s="141"/>
      <c r="F26" s="142"/>
      <c r="G26" s="56"/>
      <c r="H26" s="24">
        <f>+SUM(B26:G26)</f>
        <v>0</v>
      </c>
      <c r="I26" s="63">
        <f t="shared" si="2"/>
        <v>0</v>
      </c>
      <c r="J26" s="29">
        <f>+H26+H26*$I$13</f>
        <v>0</v>
      </c>
    </row>
    <row r="27" spans="1:10" ht="25.5" customHeight="1" x14ac:dyDescent="0.25">
      <c r="A27" s="22"/>
      <c r="B27" s="140" t="s">
        <v>62</v>
      </c>
      <c r="C27" s="141"/>
      <c r="D27" s="141"/>
      <c r="E27" s="141"/>
      <c r="F27" s="142"/>
      <c r="G27" s="56"/>
      <c r="H27" s="24">
        <f>+SUM(B27:G27)</f>
        <v>0</v>
      </c>
      <c r="I27" s="63">
        <f t="shared" si="2"/>
        <v>0</v>
      </c>
      <c r="J27" s="29">
        <f>+H27+H27*$I$13</f>
        <v>0</v>
      </c>
    </row>
    <row r="28" spans="1:10" ht="25.5" customHeight="1" thickBot="1" x14ac:dyDescent="0.3">
      <c r="A28" s="23" t="s">
        <v>11</v>
      </c>
      <c r="B28" s="131"/>
      <c r="C28" s="132"/>
      <c r="D28" s="132"/>
      <c r="E28" s="132"/>
      <c r="F28" s="133"/>
      <c r="G28" s="64">
        <f>+SUM(G15:G27)</f>
        <v>0</v>
      </c>
      <c r="H28" s="25">
        <f>+SUM(H15:H27)</f>
        <v>0</v>
      </c>
      <c r="I28" s="25">
        <f>+SUM(I15:I27)</f>
        <v>0</v>
      </c>
      <c r="J28" s="31">
        <f>+SUM(J15:J27)</f>
        <v>0</v>
      </c>
    </row>
    <row r="29" spans="1:10" x14ac:dyDescent="0.25">
      <c r="A29" s="1"/>
    </row>
    <row r="30" spans="1:10" x14ac:dyDescent="0.25">
      <c r="A30" s="1"/>
      <c r="G30" s="2"/>
    </row>
    <row r="33" spans="1:1" x14ac:dyDescent="0.25">
      <c r="A33" s="3"/>
    </row>
  </sheetData>
  <sheetProtection algorithmName="SHA-512" hashValue="W7lVGSsNO/h6AEiK1biGvyFjp0ciHej7WezgbiT1wnyo8utRJYCcMDi3y3V50IinNLGqWrxqmj6od+eAHj8jAg==" saltValue="GIn5EpvqUiQwUGKEcH5bzQ==" spinCount="100000" sheet="1" selectLockedCells="1"/>
  <mergeCells count="25">
    <mergeCell ref="H3:J3"/>
    <mergeCell ref="B9:C9"/>
    <mergeCell ref="F9:G9"/>
    <mergeCell ref="H9:J9"/>
    <mergeCell ref="B10:C10"/>
    <mergeCell ref="F10:G10"/>
    <mergeCell ref="H10:J10"/>
    <mergeCell ref="B17:F17"/>
    <mergeCell ref="B18:F18"/>
    <mergeCell ref="B19:F19"/>
    <mergeCell ref="B20:F20"/>
    <mergeCell ref="A12:A14"/>
    <mergeCell ref="B12:G12"/>
    <mergeCell ref="B13:F13"/>
    <mergeCell ref="B14:F14"/>
    <mergeCell ref="B15:F15"/>
    <mergeCell ref="B16:F16"/>
    <mergeCell ref="B25:F25"/>
    <mergeCell ref="B26:F26"/>
    <mergeCell ref="B27:F27"/>
    <mergeCell ref="B28:F28"/>
    <mergeCell ref="B21:F21"/>
    <mergeCell ref="B22:F22"/>
    <mergeCell ref="B23:F23"/>
    <mergeCell ref="B24:F24"/>
  </mergeCells>
  <printOptions horizontalCentered="1" verticalCentered="1"/>
  <pageMargins left="0.31496062992125984" right="0.31496062992125984" top="0.55118110236220474" bottom="0.15748031496062992" header="0.31496062992125984" footer="0.11811023622047245"/>
  <pageSetup paperSize="9" scale="67" orientation="landscape" r:id="rId1"/>
  <headerFooter>
    <oddHeader xml:space="preserve">&amp;L&amp;9
&amp;R&amp;"Georgia,Normal"&amp;20CSPS -MISSIONS ET REPARTITION DES HONORAIRES &amp;"GEO,Normal"&amp;11
</oddHeader>
    <oddFooter xml:space="preserve">&amp;R&amp;8SERVICE DEVELOPPEMENT - DS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499F-1404-447D-A70A-EF103516C5A6}">
  <dimension ref="A6:H39"/>
  <sheetViews>
    <sheetView view="pageLayout" topLeftCell="A23" zoomScale="120" zoomScaleNormal="100" zoomScaleSheetLayoutView="90" zoomScalePageLayoutView="120" workbookViewId="0">
      <selection activeCell="F7" sqref="F7"/>
    </sheetView>
  </sheetViews>
  <sheetFormatPr baseColWidth="10" defaultRowHeight="14.25" x14ac:dyDescent="0.2"/>
  <cols>
    <col min="1" max="16384" width="11.42578125" style="77"/>
  </cols>
  <sheetData>
    <row r="6" spans="1:8" x14ac:dyDescent="0.2">
      <c r="A6" s="82" t="s">
        <v>65</v>
      </c>
      <c r="B6" s="82"/>
      <c r="C6" s="82">
        <v>1</v>
      </c>
      <c r="D6" s="82"/>
      <c r="E6" s="82"/>
      <c r="F6" s="82"/>
      <c r="G6" s="82"/>
      <c r="H6" s="82"/>
    </row>
    <row r="11" spans="1:8" x14ac:dyDescent="0.2">
      <c r="A11" s="77" t="s">
        <v>66</v>
      </c>
      <c r="C11" s="77" t="s">
        <v>69</v>
      </c>
    </row>
    <row r="12" spans="1:8" x14ac:dyDescent="0.2">
      <c r="C12" s="77" t="s">
        <v>70</v>
      </c>
    </row>
    <row r="15" spans="1:8" x14ac:dyDescent="0.2">
      <c r="A15" s="77" t="s">
        <v>67</v>
      </c>
      <c r="C15" s="77" t="s">
        <v>71</v>
      </c>
    </row>
    <row r="16" spans="1:8" x14ac:dyDescent="0.2">
      <c r="C16" s="77" t="s">
        <v>74</v>
      </c>
    </row>
    <row r="19" spans="1:8" x14ac:dyDescent="0.2">
      <c r="A19" s="77" t="s">
        <v>72</v>
      </c>
      <c r="C19" s="77" t="s">
        <v>73</v>
      </c>
    </row>
    <row r="22" spans="1:8" x14ac:dyDescent="0.2">
      <c r="A22" s="77" t="s">
        <v>68</v>
      </c>
      <c r="C22" s="77" t="s">
        <v>52</v>
      </c>
    </row>
    <row r="24" spans="1:8" x14ac:dyDescent="0.2">
      <c r="C24" s="77" t="s">
        <v>76</v>
      </c>
    </row>
    <row r="27" spans="1:8" x14ac:dyDescent="0.2">
      <c r="B27" s="77" t="str">
        <f>+C15</f>
        <v>SEBTP</v>
      </c>
      <c r="C27" s="199" t="s">
        <v>77</v>
      </c>
      <c r="D27" s="199"/>
      <c r="E27" s="199"/>
      <c r="F27" s="199"/>
      <c r="G27" s="199"/>
      <c r="H27" s="199"/>
    </row>
    <row r="28" spans="1:8" x14ac:dyDescent="0.2">
      <c r="C28" s="199"/>
      <c r="D28" s="199"/>
      <c r="E28" s="199"/>
      <c r="F28" s="199"/>
      <c r="G28" s="199"/>
      <c r="H28" s="199"/>
    </row>
    <row r="29" spans="1:8" x14ac:dyDescent="0.2">
      <c r="C29" s="83"/>
      <c r="D29" s="83"/>
      <c r="E29" s="83"/>
      <c r="F29" s="83"/>
      <c r="G29" s="83"/>
      <c r="H29" s="83"/>
    </row>
    <row r="30" spans="1:8" ht="15" x14ac:dyDescent="0.2">
      <c r="A30" s="197">
        <v>45733</v>
      </c>
      <c r="B30" s="198"/>
      <c r="C30" s="198"/>
      <c r="D30" s="198"/>
      <c r="E30" s="198"/>
      <c r="F30" s="198"/>
      <c r="G30" s="198"/>
      <c r="H30" s="198"/>
    </row>
    <row r="34" spans="2:7" x14ac:dyDescent="0.2">
      <c r="B34" s="195" t="s">
        <v>84</v>
      </c>
      <c r="C34" s="196"/>
      <c r="F34" s="195" t="s">
        <v>75</v>
      </c>
      <c r="G34" s="196"/>
    </row>
    <row r="35" spans="2:7" x14ac:dyDescent="0.2">
      <c r="B35" s="78" t="s">
        <v>78</v>
      </c>
      <c r="C35" s="79"/>
      <c r="F35" s="78" t="s">
        <v>78</v>
      </c>
      <c r="G35" s="79"/>
    </row>
    <row r="36" spans="2:7" x14ac:dyDescent="0.2">
      <c r="B36" s="78"/>
      <c r="C36" s="79"/>
      <c r="F36" s="78"/>
      <c r="G36" s="79"/>
    </row>
    <row r="37" spans="2:7" x14ac:dyDescent="0.2">
      <c r="B37" s="78"/>
      <c r="C37" s="79"/>
      <c r="F37" s="78"/>
      <c r="G37" s="79"/>
    </row>
    <row r="38" spans="2:7" x14ac:dyDescent="0.2">
      <c r="B38" s="78"/>
      <c r="C38" s="79"/>
      <c r="F38" s="78"/>
      <c r="G38" s="79"/>
    </row>
    <row r="39" spans="2:7" x14ac:dyDescent="0.2">
      <c r="B39" s="80"/>
      <c r="C39" s="81"/>
      <c r="F39" s="80"/>
      <c r="G39" s="81"/>
    </row>
  </sheetData>
  <mergeCells count="4">
    <mergeCell ref="B34:C34"/>
    <mergeCell ref="A30:H30"/>
    <mergeCell ref="C27:H28"/>
    <mergeCell ref="F34:G34"/>
  </mergeCells>
  <pageMargins left="0.25" right="0.25" top="0.75" bottom="0.75" header="0.3" footer="0.3"/>
  <pageSetup paperSize="9" orientation="portrait" r:id="rId1"/>
  <headerFooter>
    <oddHeader>&amp;L
&amp;RORDRE DE SERVICE - MISSIONS DE PRESTATIONS INTELLECTUELLES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FA09-2133-4835-AFBF-78FB4DBB5F0C}">
  <sheetPr>
    <pageSetUpPr fitToPage="1"/>
  </sheetPr>
  <dimension ref="A1:D39"/>
  <sheetViews>
    <sheetView workbookViewId="0">
      <selection activeCell="F16" sqref="F16"/>
    </sheetView>
  </sheetViews>
  <sheetFormatPr baseColWidth="10" defaultRowHeight="15" x14ac:dyDescent="0.25"/>
  <cols>
    <col min="1" max="1" width="26.7109375" customWidth="1"/>
    <col min="2" max="2" width="53.140625" customWidth="1"/>
    <col min="3" max="3" width="25.42578125" customWidth="1"/>
    <col min="4" max="4" width="30.5703125" customWidth="1"/>
  </cols>
  <sheetData>
    <row r="1" spans="1:4" x14ac:dyDescent="0.25">
      <c r="A1" s="91" t="str">
        <f>+MOE!E3</f>
        <v>17 RUE DU VIALMUR - POMPES A CHALEUR</v>
      </c>
      <c r="B1" s="92"/>
      <c r="C1" s="92"/>
      <c r="D1" s="103"/>
    </row>
    <row r="2" spans="1:4" x14ac:dyDescent="0.25">
      <c r="A2" s="93"/>
      <c r="B2" s="94"/>
      <c r="C2" s="94"/>
      <c r="D2" s="95"/>
    </row>
    <row r="3" spans="1:4" x14ac:dyDescent="0.25">
      <c r="A3" s="104">
        <v>45898</v>
      </c>
      <c r="B3" s="94" t="s">
        <v>117</v>
      </c>
      <c r="C3" s="94"/>
      <c r="D3" s="95"/>
    </row>
    <row r="4" spans="1:4" x14ac:dyDescent="0.25">
      <c r="A4" s="104">
        <v>45919</v>
      </c>
      <c r="B4" s="94" t="s">
        <v>110</v>
      </c>
      <c r="C4" s="94"/>
      <c r="D4" s="95"/>
    </row>
    <row r="5" spans="1:4" x14ac:dyDescent="0.25">
      <c r="A5" s="93"/>
      <c r="B5" s="94"/>
      <c r="C5" s="94"/>
      <c r="D5" s="95"/>
    </row>
    <row r="6" spans="1:4" ht="33" customHeight="1" x14ac:dyDescent="0.25">
      <c r="A6" s="93"/>
      <c r="B6" s="94" t="s">
        <v>85</v>
      </c>
      <c r="C6" s="94" t="s">
        <v>86</v>
      </c>
      <c r="D6" s="95" t="s">
        <v>87</v>
      </c>
    </row>
    <row r="7" spans="1:4" x14ac:dyDescent="0.25">
      <c r="A7" s="93" t="s">
        <v>116</v>
      </c>
      <c r="B7" s="127" t="s">
        <v>124</v>
      </c>
      <c r="C7" s="97">
        <v>45918</v>
      </c>
      <c r="D7" s="95" t="s">
        <v>126</v>
      </c>
    </row>
    <row r="8" spans="1:4" x14ac:dyDescent="0.25">
      <c r="A8" s="93" t="s">
        <v>118</v>
      </c>
      <c r="B8" s="96" t="s">
        <v>122</v>
      </c>
      <c r="C8" s="97" t="s">
        <v>119</v>
      </c>
      <c r="D8" s="95" t="s">
        <v>105</v>
      </c>
    </row>
    <row r="9" spans="1:4" x14ac:dyDescent="0.25">
      <c r="A9" s="93" t="s">
        <v>120</v>
      </c>
      <c r="B9" s="126" t="s">
        <v>123</v>
      </c>
      <c r="C9" s="97" t="s">
        <v>119</v>
      </c>
      <c r="D9" s="95" t="s">
        <v>105</v>
      </c>
    </row>
    <row r="10" spans="1:4" x14ac:dyDescent="0.25">
      <c r="A10" s="93"/>
      <c r="B10" s="96"/>
      <c r="C10" s="94"/>
      <c r="D10" s="95"/>
    </row>
    <row r="11" spans="1:4" x14ac:dyDescent="0.25">
      <c r="A11" s="93" t="s">
        <v>125</v>
      </c>
      <c r="B11" s="94"/>
      <c r="C11" s="94"/>
      <c r="D11" s="95"/>
    </row>
    <row r="12" spans="1:4" ht="15.75" thickBot="1" x14ac:dyDescent="0.3">
      <c r="A12" s="98"/>
      <c r="B12" s="99" t="s">
        <v>121</v>
      </c>
      <c r="C12" s="99" t="s">
        <v>116</v>
      </c>
      <c r="D12" s="100"/>
    </row>
    <row r="13" spans="1:4" x14ac:dyDescent="0.25">
      <c r="A13" s="94"/>
      <c r="B13" s="94"/>
      <c r="C13" s="94"/>
      <c r="D13" s="101"/>
    </row>
    <row r="14" spans="1:4" ht="15.75" thickBot="1" x14ac:dyDescent="0.3">
      <c r="A14" s="94"/>
      <c r="B14" s="94"/>
      <c r="C14" s="94"/>
      <c r="D14" s="102"/>
    </row>
    <row r="15" spans="1:4" x14ac:dyDescent="0.25">
      <c r="A15" s="91" t="str">
        <f>+MOE!E3</f>
        <v>17 RUE DU VIALMUR - POMPES A CHALEUR</v>
      </c>
      <c r="B15" s="105"/>
      <c r="C15" s="105"/>
      <c r="D15" s="103" t="s">
        <v>111</v>
      </c>
    </row>
    <row r="16" spans="1:4" x14ac:dyDescent="0.25">
      <c r="A16" s="93"/>
      <c r="B16" s="94"/>
      <c r="C16" s="94"/>
      <c r="D16" s="95"/>
    </row>
    <row r="17" spans="1:4" x14ac:dyDescent="0.25">
      <c r="A17" s="104">
        <v>45735</v>
      </c>
      <c r="B17" s="94" t="s">
        <v>109</v>
      </c>
      <c r="C17" s="94"/>
      <c r="D17" s="95"/>
    </row>
    <row r="18" spans="1:4" x14ac:dyDescent="0.25">
      <c r="A18" s="104">
        <v>45750</v>
      </c>
      <c r="B18" s="94" t="s">
        <v>110</v>
      </c>
      <c r="C18" s="94"/>
      <c r="D18" s="95"/>
    </row>
    <row r="19" spans="1:4" x14ac:dyDescent="0.25">
      <c r="A19" s="93"/>
      <c r="B19" s="94"/>
      <c r="C19" s="94"/>
      <c r="D19" s="95"/>
    </row>
    <row r="20" spans="1:4" x14ac:dyDescent="0.25">
      <c r="A20" s="93"/>
      <c r="B20" s="94"/>
      <c r="C20" s="94" t="s">
        <v>86</v>
      </c>
      <c r="D20" s="95" t="s">
        <v>87</v>
      </c>
    </row>
    <row r="21" spans="1:4" x14ac:dyDescent="0.25">
      <c r="A21" s="93" t="s">
        <v>92</v>
      </c>
      <c r="B21" s="96" t="s">
        <v>93</v>
      </c>
      <c r="C21" s="97"/>
      <c r="D21" s="95"/>
    </row>
    <row r="22" spans="1:4" x14ac:dyDescent="0.25">
      <c r="A22" s="93" t="s">
        <v>88</v>
      </c>
      <c r="B22" s="96" t="s">
        <v>89</v>
      </c>
      <c r="C22" s="97"/>
      <c r="D22" s="95"/>
    </row>
    <row r="23" spans="1:4" x14ac:dyDescent="0.25">
      <c r="A23" s="93" t="s">
        <v>94</v>
      </c>
      <c r="B23" s="96" t="s">
        <v>95</v>
      </c>
      <c r="C23" s="97"/>
      <c r="D23" s="95"/>
    </row>
    <row r="24" spans="1:4" x14ac:dyDescent="0.25">
      <c r="A24" s="93"/>
      <c r="B24" s="94"/>
      <c r="C24" s="94"/>
      <c r="D24" s="95"/>
    </row>
    <row r="25" spans="1:4" ht="15.75" thickBot="1" x14ac:dyDescent="0.3">
      <c r="A25" s="98"/>
      <c r="B25" s="99" t="s">
        <v>96</v>
      </c>
      <c r="C25" s="99" t="s">
        <v>90</v>
      </c>
      <c r="D25" s="100"/>
    </row>
    <row r="26" spans="1:4" x14ac:dyDescent="0.25">
      <c r="A26" s="94"/>
      <c r="B26" s="94"/>
      <c r="C26" s="94"/>
      <c r="D26" s="101"/>
    </row>
    <row r="27" spans="1:4" ht="15.75" thickBot="1" x14ac:dyDescent="0.3">
      <c r="A27" s="94"/>
      <c r="B27" s="94"/>
      <c r="C27" s="94"/>
      <c r="D27" s="102"/>
    </row>
    <row r="28" spans="1:4" x14ac:dyDescent="0.25">
      <c r="A28" s="91" t="str">
        <f>+MOE!E3</f>
        <v>17 RUE DU VIALMUR - POMPES A CHALEUR</v>
      </c>
      <c r="B28" s="92"/>
      <c r="C28" s="92"/>
      <c r="D28" s="103" t="s">
        <v>63</v>
      </c>
    </row>
    <row r="29" spans="1:4" x14ac:dyDescent="0.25">
      <c r="A29" s="93"/>
      <c r="B29" s="94"/>
      <c r="C29" s="94"/>
      <c r="D29" s="95"/>
    </row>
    <row r="30" spans="1:4" x14ac:dyDescent="0.25">
      <c r="A30" s="93" t="s">
        <v>97</v>
      </c>
      <c r="B30" s="94" t="s">
        <v>109</v>
      </c>
      <c r="C30" s="94"/>
      <c r="D30" s="95"/>
    </row>
    <row r="31" spans="1:4" x14ac:dyDescent="0.25">
      <c r="A31" s="93" t="s">
        <v>91</v>
      </c>
      <c r="B31" s="94" t="s">
        <v>110</v>
      </c>
      <c r="C31" s="94"/>
      <c r="D31" s="95"/>
    </row>
    <row r="32" spans="1:4" x14ac:dyDescent="0.25">
      <c r="A32" s="93"/>
      <c r="B32" s="94"/>
      <c r="C32" s="94"/>
      <c r="D32" s="95"/>
    </row>
    <row r="33" spans="1:4" x14ac:dyDescent="0.25">
      <c r="A33" s="93"/>
      <c r="B33" s="94"/>
      <c r="C33" s="94" t="s">
        <v>86</v>
      </c>
      <c r="D33" s="95" t="s">
        <v>87</v>
      </c>
    </row>
    <row r="34" spans="1:4" x14ac:dyDescent="0.25">
      <c r="A34" s="93" t="s">
        <v>98</v>
      </c>
      <c r="B34" s="96" t="s">
        <v>99</v>
      </c>
      <c r="C34" s="97">
        <v>44955</v>
      </c>
      <c r="D34" s="95">
        <v>12800</v>
      </c>
    </row>
    <row r="35" spans="1:4" x14ac:dyDescent="0.25">
      <c r="A35" s="93" t="s">
        <v>100</v>
      </c>
      <c r="B35" s="96" t="s">
        <v>101</v>
      </c>
      <c r="C35" s="97">
        <v>45310</v>
      </c>
      <c r="D35" s="95">
        <v>16880</v>
      </c>
    </row>
    <row r="36" spans="1:4" x14ac:dyDescent="0.25">
      <c r="A36" s="93" t="s">
        <v>102</v>
      </c>
      <c r="B36" s="96" t="s">
        <v>103</v>
      </c>
      <c r="C36" s="94" t="s">
        <v>104</v>
      </c>
      <c r="D36" s="95" t="s">
        <v>105</v>
      </c>
    </row>
    <row r="37" spans="1:4" x14ac:dyDescent="0.25">
      <c r="A37" s="93" t="s">
        <v>106</v>
      </c>
      <c r="B37" s="96" t="s">
        <v>107</v>
      </c>
      <c r="C37" s="97">
        <v>45315</v>
      </c>
      <c r="D37" s="95">
        <v>25080</v>
      </c>
    </row>
    <row r="38" spans="1:4" x14ac:dyDescent="0.25">
      <c r="A38" s="93"/>
      <c r="B38" s="94"/>
      <c r="C38" s="94"/>
      <c r="D38" s="95"/>
    </row>
    <row r="39" spans="1:4" ht="15.75" thickBot="1" x14ac:dyDescent="0.3">
      <c r="A39" s="98"/>
      <c r="B39" s="99" t="s">
        <v>108</v>
      </c>
      <c r="C39" s="99" t="s">
        <v>98</v>
      </c>
      <c r="D39" s="100"/>
    </row>
  </sheetData>
  <hyperlinks>
    <hyperlink ref="B37" r:id="rId1" xr:uid="{6C1F0786-BA9D-46AC-A9A9-D0839202886C}"/>
    <hyperlink ref="B36" r:id="rId2" xr:uid="{755F879D-B6C9-46AE-A9C8-58A9266258CD}"/>
    <hyperlink ref="B35" r:id="rId3" xr:uid="{AF8329DB-3756-4ED1-B4CE-5FAD1337EEFB}"/>
    <hyperlink ref="B34" r:id="rId4" xr:uid="{EA5A4FBE-E2AA-4AA2-9DA3-98FC4706AA8D}"/>
    <hyperlink ref="B21" r:id="rId5" xr:uid="{5BC55460-7CB7-4A60-B863-89D53B3D1473}"/>
    <hyperlink ref="B22" r:id="rId6" xr:uid="{2D38C2ED-6868-41FA-96D4-8F7DE3E0B8B3}"/>
    <hyperlink ref="B23" r:id="rId7" xr:uid="{5B6E5726-1724-404D-AD22-4861142FEC8E}"/>
    <hyperlink ref="B8" r:id="rId8" xr:uid="{4CD93781-3109-4371-9C0D-61248824E7B2}"/>
    <hyperlink ref="B9" r:id="rId9" xr:uid="{0D3E6D46-966C-4470-B738-19AA61C3EA66}"/>
    <hyperlink ref="B7" r:id="rId10" xr:uid="{BD2FD943-40FB-4791-B413-FBCC802373AF}"/>
  </hyperlinks>
  <pageMargins left="0.7" right="0.7" top="0.75" bottom="0.75" header="0.3" footer="0.3"/>
  <pageSetup paperSize="9" scale="96" fitToHeight="0" orientation="landscape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3E3C-C56B-4612-A03F-D81A5CC3BBCE}">
  <dimension ref="A1:K34"/>
  <sheetViews>
    <sheetView tabSelected="1" view="pageLayout" topLeftCell="A11" zoomScale="85" zoomScaleNormal="100" zoomScaleSheetLayoutView="90" zoomScalePageLayoutView="85" workbookViewId="0">
      <selection activeCell="H29" sqref="H29"/>
    </sheetView>
  </sheetViews>
  <sheetFormatPr baseColWidth="10" defaultRowHeight="15" x14ac:dyDescent="0.25"/>
  <cols>
    <col min="1" max="1" width="18.28515625" customWidth="1"/>
    <col min="2" max="2" width="17" customWidth="1"/>
    <col min="3" max="7" width="21.28515625" customWidth="1"/>
    <col min="8" max="11" width="17" customWidth="1"/>
  </cols>
  <sheetData>
    <row r="1" spans="1:11" x14ac:dyDescent="0.25">
      <c r="A1" s="1"/>
    </row>
    <row r="2" spans="1:11" ht="23.25" customHeight="1" x14ac:dyDescent="0.25">
      <c r="A2" s="1"/>
      <c r="D2" s="18" t="s">
        <v>38</v>
      </c>
      <c r="E2" s="1" t="s">
        <v>127</v>
      </c>
      <c r="I2" s="41" t="s">
        <v>36</v>
      </c>
      <c r="J2" s="43"/>
      <c r="K2" s="42" t="s">
        <v>37</v>
      </c>
    </row>
    <row r="3" spans="1:11" ht="23.25" customHeight="1" x14ac:dyDescent="0.25">
      <c r="A3" s="1"/>
      <c r="D3" s="18" t="s">
        <v>34</v>
      </c>
      <c r="E3" s="1" t="s">
        <v>128</v>
      </c>
      <c r="I3" s="166" t="s">
        <v>35</v>
      </c>
      <c r="J3" s="167"/>
      <c r="K3" s="87"/>
    </row>
    <row r="4" spans="1:11" ht="23.25" customHeight="1" x14ac:dyDescent="0.25">
      <c r="B4" s="17"/>
      <c r="C4" s="17"/>
      <c r="D4" s="4" t="s">
        <v>114</v>
      </c>
      <c r="E4" s="122">
        <f>+I29</f>
        <v>0</v>
      </c>
      <c r="F4" s="1" t="s">
        <v>17</v>
      </c>
      <c r="I4" s="35"/>
      <c r="K4" s="36"/>
    </row>
    <row r="5" spans="1:11" ht="23.25" customHeight="1" x14ac:dyDescent="0.25">
      <c r="B5" s="17"/>
      <c r="C5" s="17"/>
      <c r="D5" s="4" t="s">
        <v>15</v>
      </c>
      <c r="E5" s="122">
        <v>0</v>
      </c>
      <c r="F5" s="1" t="s">
        <v>16</v>
      </c>
      <c r="I5" s="35"/>
      <c r="K5" s="36"/>
    </row>
    <row r="6" spans="1:11" ht="23.25" customHeight="1" x14ac:dyDescent="0.25">
      <c r="B6" s="17"/>
      <c r="C6" s="17"/>
      <c r="D6" s="4" t="s">
        <v>115</v>
      </c>
      <c r="E6" s="123">
        <f>+J13</f>
        <v>0.2</v>
      </c>
      <c r="F6" s="1"/>
      <c r="I6" s="35"/>
      <c r="K6" s="36"/>
    </row>
    <row r="7" spans="1:11" ht="23.25" customHeight="1" x14ac:dyDescent="0.25">
      <c r="B7" s="17"/>
      <c r="C7" s="17"/>
      <c r="F7" s="1"/>
      <c r="I7" s="37"/>
      <c r="J7" s="44"/>
      <c r="K7" s="38"/>
    </row>
    <row r="8" spans="1:11" ht="18.75" customHeight="1" thickBot="1" x14ac:dyDescent="0.3">
      <c r="A8" s="4"/>
      <c r="B8" s="4"/>
      <c r="C8" s="4"/>
      <c r="D8" s="4"/>
      <c r="E8" s="4"/>
      <c r="F8" s="4"/>
      <c r="G8" s="4"/>
      <c r="H8" s="6"/>
      <c r="I8" s="5"/>
    </row>
    <row r="9" spans="1:11" s="13" customFormat="1" ht="37.5" customHeight="1" thickBot="1" x14ac:dyDescent="0.3">
      <c r="A9" s="39"/>
      <c r="B9" s="168" t="s">
        <v>26</v>
      </c>
      <c r="C9" s="168"/>
      <c r="D9" s="40" t="s">
        <v>27</v>
      </c>
      <c r="E9" s="40" t="s">
        <v>28</v>
      </c>
      <c r="F9" s="168" t="s">
        <v>29</v>
      </c>
      <c r="G9" s="168"/>
      <c r="H9" s="160" t="s">
        <v>30</v>
      </c>
      <c r="I9" s="161"/>
      <c r="J9" s="161"/>
      <c r="K9" s="162"/>
    </row>
    <row r="10" spans="1:11" ht="21" customHeight="1" thickBot="1" x14ac:dyDescent="0.3">
      <c r="A10" s="59" t="s">
        <v>25</v>
      </c>
      <c r="B10" s="169"/>
      <c r="C10" s="169"/>
      <c r="D10" s="61"/>
      <c r="E10" s="60"/>
      <c r="F10" s="169"/>
      <c r="G10" s="169"/>
      <c r="H10" s="163"/>
      <c r="I10" s="164"/>
      <c r="J10" s="164"/>
      <c r="K10" s="165"/>
    </row>
    <row r="11" spans="1:11" ht="24.75" customHeight="1" thickBot="1" x14ac:dyDescent="0.3">
      <c r="A11" s="4"/>
      <c r="B11" s="4"/>
      <c r="C11" s="4"/>
      <c r="D11" s="4"/>
      <c r="E11" s="4"/>
      <c r="F11" s="4"/>
      <c r="G11" s="4"/>
      <c r="H11" s="6"/>
      <c r="I11" s="5"/>
    </row>
    <row r="12" spans="1:11" ht="28.5" customHeight="1" x14ac:dyDescent="0.25">
      <c r="A12" s="143" t="s">
        <v>0</v>
      </c>
      <c r="B12" s="146" t="s">
        <v>51</v>
      </c>
      <c r="C12" s="147"/>
      <c r="D12" s="147"/>
      <c r="E12" s="147"/>
      <c r="F12" s="147"/>
      <c r="G12" s="148"/>
      <c r="H12" s="108"/>
      <c r="I12" s="86"/>
      <c r="J12" s="26" t="s">
        <v>12</v>
      </c>
      <c r="K12" s="106"/>
    </row>
    <row r="13" spans="1:11" ht="30" customHeight="1" x14ac:dyDescent="0.25">
      <c r="A13" s="144"/>
      <c r="B13" s="144" t="s">
        <v>24</v>
      </c>
      <c r="C13" s="149"/>
      <c r="D13" s="149"/>
      <c r="E13" s="149"/>
      <c r="F13" s="150"/>
      <c r="G13" s="89"/>
      <c r="H13" s="57" t="s">
        <v>42</v>
      </c>
      <c r="I13" s="71"/>
      <c r="J13" s="124">
        <v>0.2</v>
      </c>
      <c r="K13" s="72"/>
    </row>
    <row r="14" spans="1:11" ht="28.5" customHeight="1" thickBot="1" x14ac:dyDescent="0.3">
      <c r="A14" s="145"/>
      <c r="B14" s="151">
        <f>+B10</f>
        <v>0</v>
      </c>
      <c r="C14" s="152"/>
      <c r="D14" s="152"/>
      <c r="E14" s="152"/>
      <c r="F14" s="153"/>
      <c r="G14" s="110"/>
      <c r="H14" s="111"/>
      <c r="I14" s="73" t="s">
        <v>32</v>
      </c>
      <c r="J14" s="74"/>
      <c r="K14" s="75" t="s">
        <v>13</v>
      </c>
    </row>
    <row r="15" spans="1:11" ht="25.5" customHeight="1" x14ac:dyDescent="0.25">
      <c r="A15" s="112" t="s">
        <v>131</v>
      </c>
      <c r="B15" s="154" t="s">
        <v>136</v>
      </c>
      <c r="C15" s="155"/>
      <c r="D15" s="155"/>
      <c r="E15" s="155"/>
      <c r="F15" s="156"/>
      <c r="G15" s="113">
        <v>1</v>
      </c>
      <c r="H15" s="120"/>
      <c r="I15" s="114">
        <f>+G15*H15</f>
        <v>0</v>
      </c>
      <c r="J15" s="115">
        <f>+I15*$J$13</f>
        <v>0</v>
      </c>
      <c r="K15" s="116">
        <f t="shared" ref="K15:K25" si="0">+I15+I15*$J$13</f>
        <v>0</v>
      </c>
    </row>
    <row r="16" spans="1:11" ht="25.5" customHeight="1" x14ac:dyDescent="0.25">
      <c r="A16" s="22"/>
      <c r="B16" s="140" t="s">
        <v>129</v>
      </c>
      <c r="C16" s="141"/>
      <c r="D16" s="141"/>
      <c r="E16" s="141"/>
      <c r="F16" s="142"/>
      <c r="G16" s="90">
        <v>1</v>
      </c>
      <c r="H16" s="121"/>
      <c r="I16" s="117">
        <f t="shared" ref="I16:I28" si="1">+G16*H16</f>
        <v>0</v>
      </c>
      <c r="J16" s="118">
        <f t="shared" ref="J16:J28" si="2">+I16*$J$13</f>
        <v>0</v>
      </c>
      <c r="K16" s="119">
        <f t="shared" si="0"/>
        <v>0</v>
      </c>
    </row>
    <row r="17" spans="1:11" ht="25.5" customHeight="1" x14ac:dyDescent="0.25">
      <c r="A17" s="128" t="s">
        <v>130</v>
      </c>
      <c r="B17" s="157" t="s">
        <v>133</v>
      </c>
      <c r="C17" s="158"/>
      <c r="D17" s="158"/>
      <c r="E17" s="158"/>
      <c r="F17" s="159"/>
      <c r="G17" s="129" t="s">
        <v>132</v>
      </c>
      <c r="H17" s="121"/>
      <c r="I17" s="117"/>
      <c r="J17" s="118"/>
      <c r="K17" s="119"/>
    </row>
    <row r="18" spans="1:11" ht="33.75" customHeight="1" x14ac:dyDescent="0.25">
      <c r="A18" s="22"/>
      <c r="B18" s="134" t="s">
        <v>140</v>
      </c>
      <c r="C18" s="135"/>
      <c r="D18" s="135"/>
      <c r="E18" s="135"/>
      <c r="F18" s="136"/>
      <c r="G18" s="125"/>
      <c r="H18" s="121"/>
      <c r="I18" s="117">
        <f t="shared" si="1"/>
        <v>0</v>
      </c>
      <c r="J18" s="118">
        <f t="shared" si="2"/>
        <v>0</v>
      </c>
      <c r="K18" s="119">
        <f t="shared" si="0"/>
        <v>0</v>
      </c>
    </row>
    <row r="19" spans="1:11" ht="25.5" customHeight="1" x14ac:dyDescent="0.25">
      <c r="A19" s="22"/>
      <c r="B19" s="134" t="s">
        <v>141</v>
      </c>
      <c r="C19" s="135"/>
      <c r="D19" s="135"/>
      <c r="E19" s="135"/>
      <c r="F19" s="136"/>
      <c r="G19" s="125"/>
      <c r="H19" s="121"/>
      <c r="I19" s="117">
        <f t="shared" si="1"/>
        <v>0</v>
      </c>
      <c r="J19" s="118">
        <f t="shared" si="2"/>
        <v>0</v>
      </c>
      <c r="K19" s="119">
        <f t="shared" si="0"/>
        <v>0</v>
      </c>
    </row>
    <row r="20" spans="1:11" ht="25.5" customHeight="1" x14ac:dyDescent="0.25">
      <c r="A20" s="128" t="s">
        <v>134</v>
      </c>
      <c r="B20" s="137"/>
      <c r="C20" s="138"/>
      <c r="D20" s="138"/>
      <c r="E20" s="138"/>
      <c r="F20" s="139"/>
      <c r="G20" s="130" t="s">
        <v>135</v>
      </c>
      <c r="H20" s="121"/>
      <c r="I20" s="117"/>
      <c r="J20" s="118"/>
      <c r="K20" s="119"/>
    </row>
    <row r="21" spans="1:11" ht="25.5" customHeight="1" x14ac:dyDescent="0.25">
      <c r="A21" s="22"/>
      <c r="B21" s="140" t="s">
        <v>139</v>
      </c>
      <c r="C21" s="141"/>
      <c r="D21" s="141"/>
      <c r="E21" s="141"/>
      <c r="F21" s="142"/>
      <c r="G21" s="90" t="s">
        <v>135</v>
      </c>
      <c r="H21" s="121"/>
      <c r="I21" s="117"/>
      <c r="J21" s="118"/>
      <c r="K21" s="119"/>
    </row>
    <row r="22" spans="1:11" ht="25.5" customHeight="1" x14ac:dyDescent="0.25">
      <c r="A22" s="22"/>
      <c r="B22" s="140"/>
      <c r="C22" s="141"/>
      <c r="D22" s="141"/>
      <c r="E22" s="141"/>
      <c r="F22" s="142"/>
      <c r="G22" s="90"/>
      <c r="H22" s="121"/>
      <c r="I22" s="117">
        <f t="shared" si="1"/>
        <v>0</v>
      </c>
      <c r="J22" s="118">
        <f t="shared" si="2"/>
        <v>0</v>
      </c>
      <c r="K22" s="119">
        <f t="shared" si="0"/>
        <v>0</v>
      </c>
    </row>
    <row r="23" spans="1:11" ht="25.5" customHeight="1" x14ac:dyDescent="0.25">
      <c r="A23" s="22" t="s">
        <v>137</v>
      </c>
      <c r="B23" s="134" t="s">
        <v>138</v>
      </c>
      <c r="C23" s="135"/>
      <c r="D23" s="135"/>
      <c r="E23" s="135"/>
      <c r="F23" s="136"/>
      <c r="G23" s="125">
        <v>1</v>
      </c>
      <c r="H23" s="121"/>
      <c r="I23" s="117">
        <f t="shared" si="1"/>
        <v>0</v>
      </c>
      <c r="J23" s="118">
        <f t="shared" si="2"/>
        <v>0</v>
      </c>
      <c r="K23" s="119">
        <f t="shared" si="0"/>
        <v>0</v>
      </c>
    </row>
    <row r="24" spans="1:11" ht="25.5" customHeight="1" x14ac:dyDescent="0.25">
      <c r="A24" s="22"/>
      <c r="B24" s="134"/>
      <c r="C24" s="135"/>
      <c r="D24" s="135"/>
      <c r="E24" s="135"/>
      <c r="F24" s="136"/>
      <c r="G24" s="125"/>
      <c r="H24" s="121"/>
      <c r="I24" s="117">
        <f t="shared" si="1"/>
        <v>0</v>
      </c>
      <c r="J24" s="118">
        <f t="shared" si="2"/>
        <v>0</v>
      </c>
      <c r="K24" s="119">
        <f t="shared" si="0"/>
        <v>0</v>
      </c>
    </row>
    <row r="25" spans="1:11" ht="25.5" customHeight="1" x14ac:dyDescent="0.25">
      <c r="A25" s="22"/>
      <c r="B25" s="134"/>
      <c r="C25" s="135"/>
      <c r="D25" s="135"/>
      <c r="E25" s="135"/>
      <c r="F25" s="136"/>
      <c r="G25" s="125"/>
      <c r="H25" s="121"/>
      <c r="I25" s="117">
        <f t="shared" si="1"/>
        <v>0</v>
      </c>
      <c r="J25" s="118">
        <f t="shared" si="2"/>
        <v>0</v>
      </c>
      <c r="K25" s="119">
        <f t="shared" si="0"/>
        <v>0</v>
      </c>
    </row>
    <row r="26" spans="1:11" ht="25.5" customHeight="1" x14ac:dyDescent="0.25">
      <c r="A26" s="22"/>
      <c r="B26" s="134"/>
      <c r="C26" s="135"/>
      <c r="D26" s="135"/>
      <c r="E26" s="135"/>
      <c r="F26" s="136"/>
      <c r="G26" s="125"/>
      <c r="H26" s="121"/>
      <c r="I26" s="117">
        <f t="shared" si="1"/>
        <v>0</v>
      </c>
      <c r="J26" s="118">
        <f t="shared" si="2"/>
        <v>0</v>
      </c>
      <c r="K26" s="119">
        <f>+I26+I26*$J$13</f>
        <v>0</v>
      </c>
    </row>
    <row r="27" spans="1:11" ht="25.5" customHeight="1" x14ac:dyDescent="0.25">
      <c r="A27" s="22"/>
      <c r="B27" s="140"/>
      <c r="C27" s="141"/>
      <c r="D27" s="141"/>
      <c r="E27" s="141"/>
      <c r="F27" s="142"/>
      <c r="G27" s="90"/>
      <c r="H27" s="121"/>
      <c r="I27" s="117">
        <f t="shared" si="1"/>
        <v>0</v>
      </c>
      <c r="J27" s="118">
        <f t="shared" si="2"/>
        <v>0</v>
      </c>
      <c r="K27" s="119">
        <f>+I27+I27*$J$13</f>
        <v>0</v>
      </c>
    </row>
    <row r="28" spans="1:11" ht="25.5" customHeight="1" x14ac:dyDescent="0.25">
      <c r="A28" s="22"/>
      <c r="B28" s="140"/>
      <c r="C28" s="141"/>
      <c r="D28" s="141"/>
      <c r="E28" s="141"/>
      <c r="F28" s="142"/>
      <c r="G28" s="90"/>
      <c r="H28" s="121"/>
      <c r="I28" s="117">
        <f t="shared" si="1"/>
        <v>0</v>
      </c>
      <c r="J28" s="118">
        <f t="shared" si="2"/>
        <v>0</v>
      </c>
      <c r="K28" s="119">
        <f>+I28+I28*$J$13</f>
        <v>0</v>
      </c>
    </row>
    <row r="29" spans="1:11" ht="25.5" customHeight="1" thickBot="1" x14ac:dyDescent="0.3">
      <c r="A29" s="23" t="s">
        <v>11</v>
      </c>
      <c r="B29" s="131"/>
      <c r="C29" s="132"/>
      <c r="D29" s="132"/>
      <c r="E29" s="132"/>
      <c r="F29" s="133"/>
      <c r="G29" s="88"/>
      <c r="H29" s="109"/>
      <c r="I29" s="107">
        <f>+SUM(I15:I28)</f>
        <v>0</v>
      </c>
      <c r="J29" s="25">
        <f>+SUM(J15:J28)</f>
        <v>0</v>
      </c>
      <c r="K29" s="31">
        <f>+SUM(K15:K28)</f>
        <v>0</v>
      </c>
    </row>
    <row r="30" spans="1:11" x14ac:dyDescent="0.25">
      <c r="A30" s="1"/>
    </row>
    <row r="31" spans="1:11" x14ac:dyDescent="0.25">
      <c r="A31" s="1"/>
      <c r="G31" s="2"/>
    </row>
    <row r="34" spans="1:1" x14ac:dyDescent="0.25">
      <c r="A34" s="3"/>
    </row>
  </sheetData>
  <sheetProtection selectLockedCells="1"/>
  <mergeCells count="26">
    <mergeCell ref="B17:F17"/>
    <mergeCell ref="H9:K9"/>
    <mergeCell ref="H10:K10"/>
    <mergeCell ref="I3:J3"/>
    <mergeCell ref="B16:F16"/>
    <mergeCell ref="B9:C9"/>
    <mergeCell ref="F9:G9"/>
    <mergeCell ref="B10:C10"/>
    <mergeCell ref="F10:G10"/>
    <mergeCell ref="A12:A14"/>
    <mergeCell ref="B12:G12"/>
    <mergeCell ref="B13:F13"/>
    <mergeCell ref="B14:F14"/>
    <mergeCell ref="B15:F15"/>
    <mergeCell ref="B29:F29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</mergeCells>
  <printOptions horizontalCentered="1" verticalCentered="1"/>
  <pageMargins left="0.31496062992125984" right="0.31496062992125984" top="0.55118110236220474" bottom="0.15748031496062992" header="0.31496062992125984" footer="0.11811023622047245"/>
  <pageSetup paperSize="9" scale="67" orientation="landscape" r:id="rId1"/>
  <headerFooter>
    <oddHeader xml:space="preserve">&amp;L&amp;9
&amp;R&amp;"Georgia,Normal"&amp;20RECAPITULATIF TRAVAUX - DPGF SOMMAIRE </oddHeader>
    <oddFooter xml:space="preserve">&amp;R&amp;8SERVICE DEVELOPPEMENT - DS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</vt:i4>
      </vt:variant>
    </vt:vector>
  </HeadingPairs>
  <TitlesOfParts>
    <vt:vector size="10" baseType="lpstr">
      <vt:lpstr>MOE</vt:lpstr>
      <vt:lpstr>OPC</vt:lpstr>
      <vt:lpstr>SPS</vt:lpstr>
      <vt:lpstr>OS ETUDES</vt:lpstr>
      <vt:lpstr>ANALYSE</vt:lpstr>
      <vt:lpstr>DPGF SOMMAIRE</vt:lpstr>
      <vt:lpstr>'DPGF SOMMAIRE'!Zone_d_impression</vt:lpstr>
      <vt:lpstr>MOE!Zone_d_impression</vt:lpstr>
      <vt:lpstr>OPC!Zone_d_impression</vt:lpstr>
      <vt:lpstr>SPS!Zone_d_impression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Djeneba Sissoko</dc:creator>
  <cp:lastModifiedBy>Bertille Goudier</cp:lastModifiedBy>
  <cp:lastPrinted>2026-02-18T09:23:28Z</cp:lastPrinted>
  <dcterms:created xsi:type="dcterms:W3CDTF">2025-03-11T15:27:17Z</dcterms:created>
  <dcterms:modified xsi:type="dcterms:W3CDTF">2026-02-20T13:38:18Z</dcterms:modified>
</cp:coreProperties>
</file>